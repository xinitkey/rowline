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ОТЧЕТ 9 МЕСЯЦЕВ 2025 ГОДА\FD-048-BL la 30.09.2025\"/>
    </mc:Choice>
  </mc:AlternateContent>
  <xr:revisionPtr revIDLastSave="0" documentId="13_ncr:1_{2A32B162-5799-41D2-A596-B96954D0F2E8}" xr6:coauthVersionLast="47" xr6:coauthVersionMax="47" xr10:uidLastSave="{00000000-0000-0000-0000-000000000000}"/>
  <bookViews>
    <workbookView xWindow="12945" yWindow="165" windowWidth="15810" windowHeight="15240" tabRatio="917" firstSheet="15" activeTab="23" xr2:uid="{00000000-000D-0000-FFFF-FFFF00000000}"/>
  </bookViews>
  <sheets>
    <sheet name="Total sc.prim" sheetId="6" r:id="rId1"/>
    <sheet name="sc.prim.16" sheetId="1" r:id="rId2"/>
    <sheet name="scprim.21" sheetId="4" r:id="rId3"/>
    <sheet name="total gimnazii" sheetId="5" r:id="rId4"/>
    <sheet name="gim 10" sheetId="13" r:id="rId5"/>
    <sheet name="gim 2" sheetId="7" r:id="rId6"/>
    <sheet name="gim 3" sheetId="8" r:id="rId7"/>
    <sheet name="gim 6" sheetId="10" r:id="rId8"/>
    <sheet name="gim 7" sheetId="11" r:id="rId9"/>
    <sheet name="gim 9" sheetId="12" r:id="rId10"/>
    <sheet name="gim 14" sheetId="14" r:id="rId11"/>
    <sheet name="gim 19" sheetId="16" r:id="rId12"/>
    <sheet name="gim Cuza" sheetId="17" r:id="rId13"/>
    <sheet name="total licee" sheetId="19" r:id="rId14"/>
    <sheet name="Cantemir" sheetId="23" r:id="rId15"/>
    <sheet name="Hasdeu" sheetId="20" r:id="rId16"/>
    <sheet name="Blaga" sheetId="27" r:id="rId17"/>
    <sheet name="Lomonosov" sheetId="28" r:id="rId18"/>
    <sheet name="Gorki" sheetId="25" r:id="rId19"/>
    <sheet name="Cosbuc" sheetId="22" r:id="rId20"/>
    <sheet name="Maiakovski" sheetId="29" r:id="rId21"/>
    <sheet name="St cel Mare" sheetId="26" r:id="rId22"/>
    <sheet name="Puskin" sheetId="24" r:id="rId23"/>
    <sheet name="Alecsandri" sheetId="21" r:id="rId24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I37" i="4"/>
  <c r="I39" i="5"/>
  <c r="I38" i="5"/>
  <c r="I37" i="7"/>
  <c r="I37" i="8"/>
  <c r="I37" i="10"/>
  <c r="I37" i="11"/>
  <c r="I37" i="12"/>
  <c r="I37" i="13"/>
  <c r="I37" i="14"/>
  <c r="I37" i="16"/>
  <c r="I37" i="17"/>
  <c r="I39" i="19"/>
  <c r="I38" i="19"/>
  <c r="I37" i="23"/>
  <c r="I37" i="20"/>
  <c r="I37" i="27"/>
  <c r="I37" i="28"/>
  <c r="I37" i="25"/>
  <c r="I37" i="22"/>
  <c r="I37" i="29"/>
  <c r="I37" i="26"/>
  <c r="I37" i="24"/>
  <c r="I37" i="21"/>
  <c r="I39" i="6"/>
  <c r="I38" i="6"/>
  <c r="I37" i="6" s="1"/>
  <c r="G89" i="19"/>
  <c r="F89" i="19"/>
  <c r="E38" i="19"/>
  <c r="E39" i="19"/>
  <c r="G89" i="5"/>
  <c r="F89" i="5"/>
  <c r="E38" i="5"/>
  <c r="E39" i="5"/>
  <c r="D39" i="5"/>
  <c r="D38" i="5"/>
  <c r="G89" i="6"/>
  <c r="F89" i="6"/>
  <c r="D39" i="6"/>
  <c r="E38" i="6"/>
  <c r="E39" i="6"/>
  <c r="I37" i="19" l="1"/>
  <c r="I37" i="5"/>
  <c r="D74" i="6"/>
  <c r="D73" i="6"/>
  <c r="D72" i="6"/>
  <c r="D71" i="6"/>
  <c r="D70" i="6"/>
  <c r="D69" i="6"/>
  <c r="D68" i="6"/>
  <c r="D67" i="6"/>
  <c r="D66" i="6"/>
  <c r="D65" i="6"/>
  <c r="D64" i="6"/>
  <c r="D59" i="6"/>
  <c r="D58" i="6"/>
  <c r="D57" i="6"/>
  <c r="D56" i="6"/>
  <c r="D37" i="6"/>
  <c r="D38" i="6"/>
  <c r="D37" i="1"/>
  <c r="D37" i="4"/>
  <c r="D74" i="5"/>
  <c r="D73" i="5"/>
  <c r="D72" i="5"/>
  <c r="D71" i="5"/>
  <c r="D70" i="5"/>
  <c r="D69" i="5"/>
  <c r="D68" i="5"/>
  <c r="D67" i="5"/>
  <c r="D66" i="5"/>
  <c r="D65" i="5"/>
  <c r="D64" i="5"/>
  <c r="D59" i="5"/>
  <c r="D58" i="5"/>
  <c r="D57" i="5"/>
  <c r="D56" i="5"/>
  <c r="D37" i="5"/>
  <c r="D37" i="7"/>
  <c r="D37" i="8"/>
  <c r="D37" i="10"/>
  <c r="D37" i="11"/>
  <c r="D37" i="12"/>
  <c r="D37" i="13"/>
  <c r="D37" i="14"/>
  <c r="D37" i="16"/>
  <c r="D37" i="17"/>
  <c r="D74" i="19"/>
  <c r="D73" i="19"/>
  <c r="D72" i="19"/>
  <c r="D71" i="19"/>
  <c r="D70" i="19"/>
  <c r="D69" i="19"/>
  <c r="D68" i="19"/>
  <c r="D67" i="19"/>
  <c r="D66" i="19"/>
  <c r="D65" i="19"/>
  <c r="D64" i="19"/>
  <c r="D59" i="19"/>
  <c r="D58" i="19"/>
  <c r="D57" i="19"/>
  <c r="D56" i="19"/>
  <c r="D39" i="19"/>
  <c r="D38" i="19"/>
  <c r="D37" i="20"/>
  <c r="D37" i="27"/>
  <c r="D37" i="28"/>
  <c r="D37" i="25"/>
  <c r="D37" i="22"/>
  <c r="D37" i="29"/>
  <c r="D37" i="26"/>
  <c r="D37" i="24"/>
  <c r="D37" i="21"/>
  <c r="D37" i="23"/>
  <c r="G91" i="1"/>
  <c r="G91" i="4"/>
  <c r="G91" i="8"/>
  <c r="G91" i="10"/>
  <c r="G91" i="11"/>
  <c r="G91" i="12"/>
  <c r="G91" i="13"/>
  <c r="G91" i="14"/>
  <c r="G91" i="16"/>
  <c r="G91" i="17"/>
  <c r="G91" i="23"/>
  <c r="G91" i="20"/>
  <c r="G91" i="27"/>
  <c r="G91" i="28"/>
  <c r="G91" i="25"/>
  <c r="G91" i="22"/>
  <c r="G91" i="29"/>
  <c r="G91" i="26"/>
  <c r="G91" i="24"/>
  <c r="G91" i="21"/>
  <c r="G91" i="7"/>
  <c r="F91" i="1"/>
  <c r="F91" i="4"/>
  <c r="F91" i="7"/>
  <c r="F91" i="8"/>
  <c r="F91" i="11"/>
  <c r="F91" i="12"/>
  <c r="F91" i="13"/>
  <c r="F91" i="14"/>
  <c r="F91" i="16"/>
  <c r="F91" i="17"/>
  <c r="F91" i="23"/>
  <c r="F91" i="20"/>
  <c r="F91" i="27"/>
  <c r="F91" i="28"/>
  <c r="F91" i="25"/>
  <c r="F91" i="22"/>
  <c r="F91" i="29"/>
  <c r="F91" i="26"/>
  <c r="F91" i="24"/>
  <c r="F91" i="21"/>
  <c r="F91" i="10"/>
  <c r="D37" i="19" l="1"/>
  <c r="H38" i="1"/>
  <c r="K39" i="5" l="1"/>
  <c r="J37" i="5"/>
  <c r="K38" i="5" l="1"/>
  <c r="K37" i="5"/>
  <c r="E37" i="1"/>
  <c r="E37" i="4"/>
  <c r="E37" i="7"/>
  <c r="E37" i="8"/>
  <c r="E37" i="10"/>
  <c r="E37" i="11"/>
  <c r="E37" i="12"/>
  <c r="E37" i="13"/>
  <c r="E37" i="14"/>
  <c r="E37" i="16"/>
  <c r="E37" i="17"/>
  <c r="E37" i="23"/>
  <c r="E37" i="20"/>
  <c r="E37" i="28"/>
  <c r="E37" i="25"/>
  <c r="E37" i="22"/>
  <c r="E37" i="29"/>
  <c r="E37" i="26"/>
  <c r="E37" i="24"/>
  <c r="E37" i="21"/>
  <c r="E37" i="27"/>
  <c r="F91" i="19"/>
  <c r="G91" i="19"/>
  <c r="F91" i="5"/>
  <c r="G91" i="5"/>
  <c r="E37" i="19" l="1"/>
  <c r="E37" i="5"/>
  <c r="E37" i="6"/>
  <c r="H39" i="1"/>
  <c r="H37" i="1" s="1"/>
  <c r="H39" i="4"/>
  <c r="H39" i="8"/>
  <c r="H39" i="10"/>
  <c r="H39" i="11"/>
  <c r="H39" i="12"/>
  <c r="H39" i="13"/>
  <c r="H39" i="14"/>
  <c r="H39" i="16"/>
  <c r="H39" i="17"/>
  <c r="H39" i="23"/>
  <c r="H39" i="20"/>
  <c r="H39" i="27"/>
  <c r="H39" i="28"/>
  <c r="H39" i="25"/>
  <c r="H39" i="22"/>
  <c r="H39" i="29"/>
  <c r="H39" i="26"/>
  <c r="H39" i="24"/>
  <c r="H39" i="21"/>
  <c r="H39" i="7"/>
  <c r="H38" i="4"/>
  <c r="H38" i="8"/>
  <c r="H38" i="10"/>
  <c r="H38" i="11"/>
  <c r="H38" i="12"/>
  <c r="H38" i="13"/>
  <c r="H38" i="14"/>
  <c r="H38" i="16"/>
  <c r="H38" i="17"/>
  <c r="H38" i="23"/>
  <c r="H38" i="20"/>
  <c r="H38" i="27"/>
  <c r="H38" i="28"/>
  <c r="H38" i="25"/>
  <c r="H38" i="22"/>
  <c r="H38" i="29"/>
  <c r="H38" i="26"/>
  <c r="H38" i="24"/>
  <c r="H38" i="21"/>
  <c r="H38" i="7"/>
  <c r="H39" i="19"/>
  <c r="H39" i="5"/>
  <c r="H38" i="6"/>
  <c r="H39" i="6"/>
  <c r="H37" i="12" l="1"/>
  <c r="H37" i="27"/>
  <c r="H37" i="7"/>
  <c r="H37" i="22"/>
  <c r="H37" i="13"/>
  <c r="H37" i="8"/>
  <c r="H37" i="16"/>
  <c r="H37" i="17"/>
  <c r="H37" i="21"/>
  <c r="H37" i="29"/>
  <c r="H37" i="20"/>
  <c r="H37" i="6"/>
  <c r="H37" i="24"/>
  <c r="H37" i="25"/>
  <c r="H37" i="23"/>
  <c r="H37" i="11"/>
  <c r="H38" i="5"/>
  <c r="H37" i="5" s="1"/>
  <c r="H37" i="26"/>
  <c r="H37" i="28"/>
  <c r="H38" i="19"/>
  <c r="H37" i="19" s="1"/>
  <c r="H37" i="14"/>
  <c r="H37" i="10"/>
  <c r="H37" i="4"/>
  <c r="I25" i="4"/>
  <c r="H25" i="7"/>
  <c r="G25" i="7"/>
  <c r="G25" i="8"/>
  <c r="I25" i="10"/>
  <c r="H25" i="10"/>
  <c r="H25" i="11"/>
  <c r="G25" i="11"/>
  <c r="G25" i="12"/>
  <c r="I25" i="13"/>
  <c r="I25" i="14"/>
  <c r="H25" i="14"/>
  <c r="G25" i="16"/>
  <c r="I25" i="17"/>
  <c r="H25" i="23"/>
  <c r="G25" i="23"/>
  <c r="G25" i="20"/>
  <c r="I25" i="27"/>
  <c r="I25" i="28"/>
  <c r="H25" i="28"/>
  <c r="H25" i="25"/>
  <c r="G25" i="25"/>
  <c r="G25" i="22"/>
  <c r="I25" i="29"/>
  <c r="I25" i="26"/>
  <c r="H25" i="26"/>
  <c r="H25" i="24"/>
  <c r="G25" i="24"/>
  <c r="G25" i="21"/>
  <c r="I25" i="1"/>
  <c r="E25" i="4"/>
  <c r="E25" i="8"/>
  <c r="E25" i="12"/>
  <c r="E25" i="13"/>
  <c r="E25" i="16"/>
  <c r="E25" i="17"/>
  <c r="E25" i="20"/>
  <c r="E25" i="27"/>
  <c r="E25" i="22"/>
  <c r="E25" i="29"/>
  <c r="E25" i="21"/>
  <c r="E25" i="1"/>
  <c r="H25" i="1"/>
  <c r="G25" i="1"/>
  <c r="I25" i="7"/>
  <c r="I25" i="8"/>
  <c r="H25" i="8"/>
  <c r="G25" i="10"/>
  <c r="I25" i="11"/>
  <c r="I25" i="12"/>
  <c r="H25" i="12"/>
  <c r="H25" i="13"/>
  <c r="G25" i="13"/>
  <c r="G25" i="14"/>
  <c r="I25" i="16"/>
  <c r="H25" i="16"/>
  <c r="H25" i="17"/>
  <c r="G25" i="17"/>
  <c r="I25" i="23"/>
  <c r="I25" i="20"/>
  <c r="H25" i="20"/>
  <c r="H25" i="27"/>
  <c r="G25" i="27"/>
  <c r="G25" i="28"/>
  <c r="I25" i="25"/>
  <c r="I25" i="22"/>
  <c r="H25" i="22"/>
  <c r="H25" i="29"/>
  <c r="G25" i="29"/>
  <c r="G25" i="26"/>
  <c r="I25" i="24"/>
  <c r="I25" i="21"/>
  <c r="H25" i="21"/>
  <c r="H25" i="4"/>
  <c r="G25" i="4"/>
  <c r="E25" i="7"/>
  <c r="E25" i="10"/>
  <c r="E25" i="11"/>
  <c r="E25" i="14"/>
  <c r="E25" i="23"/>
  <c r="E25" i="28"/>
  <c r="E25" i="25"/>
  <c r="E25" i="26"/>
  <c r="E25" i="24"/>
  <c r="M26" i="6"/>
  <c r="M27" i="6"/>
  <c r="M28" i="6"/>
  <c r="L26" i="1"/>
  <c r="M26" i="1"/>
  <c r="N26" i="1"/>
  <c r="O26" i="1"/>
  <c r="P26" i="1"/>
  <c r="L27" i="1"/>
  <c r="M27" i="1"/>
  <c r="N27" i="1"/>
  <c r="O27" i="1"/>
  <c r="P27" i="1"/>
  <c r="L28" i="1"/>
  <c r="M28" i="1"/>
  <c r="N28" i="1"/>
  <c r="O28" i="1"/>
  <c r="P28" i="1"/>
  <c r="L26" i="4"/>
  <c r="M26" i="4"/>
  <c r="N26" i="4"/>
  <c r="O26" i="4"/>
  <c r="P26" i="4"/>
  <c r="L27" i="4"/>
  <c r="M27" i="4"/>
  <c r="N27" i="4"/>
  <c r="O27" i="4"/>
  <c r="P27" i="4"/>
  <c r="L28" i="4"/>
  <c r="M28" i="4"/>
  <c r="N28" i="4"/>
  <c r="O28" i="4"/>
  <c r="P28" i="4"/>
  <c r="M26" i="5"/>
  <c r="M27" i="5"/>
  <c r="M28" i="5"/>
  <c r="L26" i="7"/>
  <c r="M26" i="7"/>
  <c r="N26" i="7"/>
  <c r="O26" i="7"/>
  <c r="P26" i="7"/>
  <c r="L27" i="7"/>
  <c r="M27" i="7"/>
  <c r="N27" i="7"/>
  <c r="O27" i="7"/>
  <c r="P27" i="7"/>
  <c r="L28" i="7"/>
  <c r="M28" i="7"/>
  <c r="N28" i="7"/>
  <c r="O28" i="7"/>
  <c r="P28" i="7"/>
  <c r="L26" i="8"/>
  <c r="M26" i="8"/>
  <c r="N26" i="8"/>
  <c r="O26" i="8"/>
  <c r="P26" i="8"/>
  <c r="L27" i="8"/>
  <c r="M27" i="8"/>
  <c r="N27" i="8"/>
  <c r="O27" i="8"/>
  <c r="P27" i="8"/>
  <c r="L28" i="8"/>
  <c r="M28" i="8"/>
  <c r="N28" i="8"/>
  <c r="O28" i="8"/>
  <c r="P28" i="8"/>
  <c r="L26" i="10"/>
  <c r="M26" i="10"/>
  <c r="N26" i="10"/>
  <c r="O26" i="10"/>
  <c r="P26" i="10"/>
  <c r="L27" i="10"/>
  <c r="M27" i="10"/>
  <c r="N27" i="10"/>
  <c r="O27" i="10"/>
  <c r="P27" i="10"/>
  <c r="L28" i="10"/>
  <c r="M28" i="10"/>
  <c r="N28" i="10"/>
  <c r="O28" i="10"/>
  <c r="P28" i="10"/>
  <c r="L26" i="11"/>
  <c r="M26" i="11"/>
  <c r="N26" i="11"/>
  <c r="O26" i="11"/>
  <c r="P26" i="11"/>
  <c r="L27" i="11"/>
  <c r="M27" i="11"/>
  <c r="N27" i="11"/>
  <c r="O27" i="11"/>
  <c r="P27" i="11"/>
  <c r="L28" i="11"/>
  <c r="M28" i="11"/>
  <c r="N28" i="11"/>
  <c r="O28" i="11"/>
  <c r="P28" i="11"/>
  <c r="L26" i="12"/>
  <c r="M26" i="12"/>
  <c r="N26" i="12"/>
  <c r="O26" i="12"/>
  <c r="P26" i="12"/>
  <c r="L27" i="12"/>
  <c r="M27" i="12"/>
  <c r="N27" i="12"/>
  <c r="O27" i="12"/>
  <c r="P27" i="12"/>
  <c r="L28" i="12"/>
  <c r="M28" i="12"/>
  <c r="N28" i="12"/>
  <c r="O28" i="12"/>
  <c r="P28" i="12"/>
  <c r="L26" i="13"/>
  <c r="M26" i="13"/>
  <c r="N26" i="13"/>
  <c r="O26" i="13"/>
  <c r="P26" i="13"/>
  <c r="L27" i="13"/>
  <c r="M27" i="13"/>
  <c r="N27" i="13"/>
  <c r="O27" i="13"/>
  <c r="P27" i="13"/>
  <c r="L28" i="13"/>
  <c r="M28" i="13"/>
  <c r="N28" i="13"/>
  <c r="O28" i="13"/>
  <c r="P28" i="13"/>
  <c r="L26" i="14"/>
  <c r="M26" i="14"/>
  <c r="N26" i="14"/>
  <c r="O26" i="14"/>
  <c r="P26" i="14"/>
  <c r="L27" i="14"/>
  <c r="M27" i="14"/>
  <c r="N27" i="14"/>
  <c r="O27" i="14"/>
  <c r="P27" i="14"/>
  <c r="L28" i="14"/>
  <c r="M28" i="14"/>
  <c r="N28" i="14"/>
  <c r="O28" i="14"/>
  <c r="P28" i="14"/>
  <c r="L26" i="16"/>
  <c r="M26" i="16"/>
  <c r="N26" i="16"/>
  <c r="O26" i="16"/>
  <c r="P26" i="16"/>
  <c r="L27" i="16"/>
  <c r="M27" i="16"/>
  <c r="N27" i="16"/>
  <c r="O27" i="16"/>
  <c r="P27" i="16"/>
  <c r="L28" i="16"/>
  <c r="M28" i="16"/>
  <c r="N28" i="16"/>
  <c r="O28" i="16"/>
  <c r="P28" i="16"/>
  <c r="L26" i="17"/>
  <c r="M26" i="17"/>
  <c r="N26" i="17"/>
  <c r="O26" i="17"/>
  <c r="P26" i="17"/>
  <c r="L27" i="17"/>
  <c r="M27" i="17"/>
  <c r="N27" i="17"/>
  <c r="O27" i="17"/>
  <c r="P27" i="17"/>
  <c r="L28" i="17"/>
  <c r="M28" i="17"/>
  <c r="N28" i="17"/>
  <c r="O28" i="17"/>
  <c r="P28" i="17"/>
  <c r="M26" i="19"/>
  <c r="M27" i="19"/>
  <c r="M28" i="19"/>
  <c r="L26" i="23"/>
  <c r="M26" i="23"/>
  <c r="N26" i="23"/>
  <c r="O26" i="23"/>
  <c r="P26" i="23"/>
  <c r="L27" i="23"/>
  <c r="M27" i="23"/>
  <c r="N27" i="23"/>
  <c r="O27" i="23"/>
  <c r="P27" i="23"/>
  <c r="L28" i="23"/>
  <c r="M28" i="23"/>
  <c r="N28" i="23"/>
  <c r="O28" i="23"/>
  <c r="P28" i="23"/>
  <c r="L26" i="27"/>
  <c r="M26" i="27"/>
  <c r="N26" i="27"/>
  <c r="O26" i="27"/>
  <c r="P26" i="27"/>
  <c r="L27" i="27"/>
  <c r="M27" i="27"/>
  <c r="N27" i="27"/>
  <c r="O27" i="27"/>
  <c r="P27" i="27"/>
  <c r="L28" i="27"/>
  <c r="M28" i="27"/>
  <c r="N28" i="27"/>
  <c r="O28" i="27"/>
  <c r="P28" i="27"/>
  <c r="L26" i="28"/>
  <c r="M26" i="28"/>
  <c r="N26" i="28"/>
  <c r="O26" i="28"/>
  <c r="P26" i="28"/>
  <c r="L27" i="28"/>
  <c r="M27" i="28"/>
  <c r="N27" i="28"/>
  <c r="O27" i="28"/>
  <c r="P27" i="28"/>
  <c r="L28" i="28"/>
  <c r="M28" i="28"/>
  <c r="N28" i="28"/>
  <c r="O28" i="28"/>
  <c r="P28" i="28"/>
  <c r="L26" i="25"/>
  <c r="M26" i="25"/>
  <c r="N26" i="25"/>
  <c r="O26" i="25"/>
  <c r="P26" i="25"/>
  <c r="L27" i="25"/>
  <c r="M27" i="25"/>
  <c r="N27" i="25"/>
  <c r="O27" i="25"/>
  <c r="P27" i="25"/>
  <c r="L28" i="25"/>
  <c r="M28" i="25"/>
  <c r="N28" i="25"/>
  <c r="O28" i="25"/>
  <c r="P28" i="25"/>
  <c r="L26" i="22"/>
  <c r="M26" i="22"/>
  <c r="N26" i="22"/>
  <c r="O26" i="22"/>
  <c r="P26" i="22"/>
  <c r="L27" i="22"/>
  <c r="M27" i="22"/>
  <c r="N27" i="22"/>
  <c r="O27" i="22"/>
  <c r="P27" i="22"/>
  <c r="L28" i="22"/>
  <c r="M28" i="22"/>
  <c r="N28" i="22"/>
  <c r="O28" i="22"/>
  <c r="P28" i="22"/>
  <c r="L26" i="29"/>
  <c r="M26" i="29"/>
  <c r="N26" i="29"/>
  <c r="O26" i="29"/>
  <c r="P26" i="29"/>
  <c r="L27" i="29"/>
  <c r="M27" i="29"/>
  <c r="N27" i="29"/>
  <c r="O27" i="29"/>
  <c r="P27" i="29"/>
  <c r="L28" i="29"/>
  <c r="M28" i="29"/>
  <c r="N28" i="29"/>
  <c r="O28" i="29"/>
  <c r="P28" i="29"/>
  <c r="L26" i="26"/>
  <c r="M26" i="26"/>
  <c r="N26" i="26"/>
  <c r="O26" i="26"/>
  <c r="P26" i="26"/>
  <c r="L27" i="26"/>
  <c r="M27" i="26"/>
  <c r="N27" i="26"/>
  <c r="O27" i="26"/>
  <c r="P27" i="26"/>
  <c r="L28" i="26"/>
  <c r="M28" i="26"/>
  <c r="N28" i="26"/>
  <c r="O28" i="26"/>
  <c r="P28" i="26"/>
  <c r="L26" i="24"/>
  <c r="M26" i="24"/>
  <c r="N26" i="24"/>
  <c r="O26" i="24"/>
  <c r="P26" i="24"/>
  <c r="L27" i="24"/>
  <c r="M27" i="24"/>
  <c r="N27" i="24"/>
  <c r="O27" i="24"/>
  <c r="P27" i="24"/>
  <c r="L28" i="24"/>
  <c r="M28" i="24"/>
  <c r="N28" i="24"/>
  <c r="O28" i="24"/>
  <c r="P28" i="24"/>
  <c r="L26" i="21"/>
  <c r="M26" i="21"/>
  <c r="N26" i="21"/>
  <c r="O26" i="21"/>
  <c r="P26" i="21"/>
  <c r="L27" i="21"/>
  <c r="M27" i="21"/>
  <c r="N27" i="21"/>
  <c r="O27" i="21"/>
  <c r="P27" i="21"/>
  <c r="L28" i="21"/>
  <c r="M28" i="21"/>
  <c r="N28" i="21"/>
  <c r="O28" i="21"/>
  <c r="P28" i="21"/>
  <c r="L26" i="20"/>
  <c r="M26" i="20"/>
  <c r="N26" i="20"/>
  <c r="O26" i="20"/>
  <c r="P26" i="20"/>
  <c r="L27" i="20"/>
  <c r="M27" i="20"/>
  <c r="N27" i="20"/>
  <c r="O27" i="20"/>
  <c r="P27" i="20"/>
  <c r="L28" i="20"/>
  <c r="M28" i="20"/>
  <c r="N28" i="20"/>
  <c r="O28" i="20"/>
  <c r="P28" i="20"/>
  <c r="K28" i="1"/>
  <c r="K28" i="4"/>
  <c r="K28" i="7"/>
  <c r="K28" i="8"/>
  <c r="K28" i="10"/>
  <c r="K28" i="11"/>
  <c r="K28" i="12"/>
  <c r="K28" i="13"/>
  <c r="K28" i="14"/>
  <c r="K28" i="16"/>
  <c r="K28" i="17"/>
  <c r="K28" i="23"/>
  <c r="K28" i="27"/>
  <c r="K28" i="28"/>
  <c r="K28" i="25"/>
  <c r="K28" i="22"/>
  <c r="K28" i="29"/>
  <c r="K28" i="26"/>
  <c r="K28" i="24"/>
  <c r="K28" i="21"/>
  <c r="K28" i="20"/>
  <c r="K27" i="1"/>
  <c r="K27" i="4"/>
  <c r="K27" i="7"/>
  <c r="K27" i="8"/>
  <c r="K27" i="10"/>
  <c r="K27" i="11"/>
  <c r="K27" i="12"/>
  <c r="K27" i="13"/>
  <c r="K27" i="14"/>
  <c r="K27" i="16"/>
  <c r="K27" i="17"/>
  <c r="K27" i="23"/>
  <c r="K27" i="27"/>
  <c r="K27" i="28"/>
  <c r="K27" i="25"/>
  <c r="K27" i="22"/>
  <c r="K27" i="29"/>
  <c r="K27" i="26"/>
  <c r="K27" i="24"/>
  <c r="K27" i="21"/>
  <c r="K27" i="20"/>
  <c r="K26" i="1"/>
  <c r="K26" i="4"/>
  <c r="K26" i="7"/>
  <c r="K26" i="8"/>
  <c r="K26" i="10"/>
  <c r="K26" i="11"/>
  <c r="K26" i="12"/>
  <c r="K26" i="13"/>
  <c r="K26" i="14"/>
  <c r="K26" i="16"/>
  <c r="K26" i="17"/>
  <c r="K26" i="23"/>
  <c r="K26" i="27"/>
  <c r="K26" i="28"/>
  <c r="K26" i="25"/>
  <c r="K26" i="22"/>
  <c r="K26" i="29"/>
  <c r="K26" i="26"/>
  <c r="K26" i="24"/>
  <c r="K26" i="21"/>
  <c r="K26" i="20"/>
  <c r="L14" i="1"/>
  <c r="M14" i="1"/>
  <c r="N14" i="1"/>
  <c r="O14" i="1"/>
  <c r="P14" i="1"/>
  <c r="L15" i="1"/>
  <c r="M15" i="1"/>
  <c r="N15" i="1"/>
  <c r="O15" i="1"/>
  <c r="P15" i="1"/>
  <c r="L16" i="1"/>
  <c r="M16" i="1"/>
  <c r="N16" i="1"/>
  <c r="O16" i="1"/>
  <c r="P16" i="1"/>
  <c r="L14" i="4"/>
  <c r="M14" i="4"/>
  <c r="N14" i="4"/>
  <c r="O14" i="4"/>
  <c r="P14" i="4"/>
  <c r="L15" i="4"/>
  <c r="M15" i="4"/>
  <c r="N15" i="4"/>
  <c r="O15" i="4"/>
  <c r="P15" i="4"/>
  <c r="L16" i="4"/>
  <c r="M16" i="4"/>
  <c r="N16" i="4"/>
  <c r="O16" i="4"/>
  <c r="P16" i="4"/>
  <c r="L14" i="7"/>
  <c r="M14" i="7"/>
  <c r="N14" i="7"/>
  <c r="O14" i="7"/>
  <c r="P14" i="7"/>
  <c r="L15" i="7"/>
  <c r="M15" i="7"/>
  <c r="N15" i="7"/>
  <c r="O15" i="7"/>
  <c r="P15" i="7"/>
  <c r="L16" i="7"/>
  <c r="M16" i="7"/>
  <c r="N16" i="7"/>
  <c r="O16" i="7"/>
  <c r="P16" i="7"/>
  <c r="L14" i="8"/>
  <c r="M14" i="8"/>
  <c r="N14" i="8"/>
  <c r="O14" i="8"/>
  <c r="P14" i="8"/>
  <c r="L15" i="8"/>
  <c r="M15" i="8"/>
  <c r="N15" i="8"/>
  <c r="O15" i="8"/>
  <c r="P15" i="8"/>
  <c r="L16" i="8"/>
  <c r="M16" i="8"/>
  <c r="N16" i="8"/>
  <c r="O16" i="8"/>
  <c r="P16" i="8"/>
  <c r="L14" i="10"/>
  <c r="M14" i="10"/>
  <c r="N14" i="10"/>
  <c r="O14" i="10"/>
  <c r="P14" i="10"/>
  <c r="L15" i="10"/>
  <c r="M15" i="10"/>
  <c r="N15" i="10"/>
  <c r="O15" i="10"/>
  <c r="P15" i="10"/>
  <c r="L16" i="10"/>
  <c r="M16" i="10"/>
  <c r="N16" i="10"/>
  <c r="O16" i="10"/>
  <c r="P16" i="10"/>
  <c r="L14" i="11"/>
  <c r="M14" i="11"/>
  <c r="N14" i="11"/>
  <c r="O14" i="11"/>
  <c r="P14" i="11"/>
  <c r="L15" i="11"/>
  <c r="M15" i="11"/>
  <c r="N15" i="11"/>
  <c r="O15" i="11"/>
  <c r="P15" i="11"/>
  <c r="L16" i="11"/>
  <c r="M16" i="11"/>
  <c r="N16" i="11"/>
  <c r="O16" i="11"/>
  <c r="P16" i="11"/>
  <c r="L14" i="12"/>
  <c r="M14" i="12"/>
  <c r="N14" i="12"/>
  <c r="O14" i="12"/>
  <c r="P14" i="12"/>
  <c r="L15" i="12"/>
  <c r="M15" i="12"/>
  <c r="N15" i="12"/>
  <c r="O15" i="12"/>
  <c r="P15" i="12"/>
  <c r="L16" i="12"/>
  <c r="M16" i="12"/>
  <c r="N16" i="12"/>
  <c r="O16" i="12"/>
  <c r="P16" i="12"/>
  <c r="L14" i="13"/>
  <c r="M14" i="13"/>
  <c r="N14" i="13"/>
  <c r="O14" i="13"/>
  <c r="P14" i="13"/>
  <c r="L15" i="13"/>
  <c r="M15" i="13"/>
  <c r="N15" i="13"/>
  <c r="O15" i="13"/>
  <c r="P15" i="13"/>
  <c r="L16" i="13"/>
  <c r="M16" i="13"/>
  <c r="N16" i="13"/>
  <c r="O16" i="13"/>
  <c r="P16" i="13"/>
  <c r="L14" i="14"/>
  <c r="M14" i="14"/>
  <c r="N14" i="14"/>
  <c r="O14" i="14"/>
  <c r="P14" i="14"/>
  <c r="L15" i="14"/>
  <c r="M15" i="14"/>
  <c r="N15" i="14"/>
  <c r="O15" i="14"/>
  <c r="P15" i="14"/>
  <c r="L16" i="14"/>
  <c r="M16" i="14"/>
  <c r="N16" i="14"/>
  <c r="O16" i="14"/>
  <c r="P16" i="14"/>
  <c r="L14" i="16"/>
  <c r="M14" i="16"/>
  <c r="N14" i="16"/>
  <c r="O14" i="16"/>
  <c r="P14" i="16"/>
  <c r="L15" i="16"/>
  <c r="M15" i="16"/>
  <c r="N15" i="16"/>
  <c r="O15" i="16"/>
  <c r="P15" i="16"/>
  <c r="L16" i="16"/>
  <c r="M16" i="16"/>
  <c r="N16" i="16"/>
  <c r="O16" i="16"/>
  <c r="P16" i="16"/>
  <c r="L14" i="17"/>
  <c r="M14" i="17"/>
  <c r="N14" i="17"/>
  <c r="O14" i="17"/>
  <c r="P14" i="17"/>
  <c r="L15" i="17"/>
  <c r="M15" i="17"/>
  <c r="N15" i="17"/>
  <c r="O15" i="17"/>
  <c r="P15" i="17"/>
  <c r="L16" i="17"/>
  <c r="M16" i="17"/>
  <c r="N16" i="17"/>
  <c r="O16" i="17"/>
  <c r="P16" i="17"/>
  <c r="L14" i="23"/>
  <c r="M14" i="23"/>
  <c r="N14" i="23"/>
  <c r="O14" i="23"/>
  <c r="P14" i="23"/>
  <c r="L15" i="23"/>
  <c r="M15" i="23"/>
  <c r="N15" i="23"/>
  <c r="O15" i="23"/>
  <c r="P15" i="23"/>
  <c r="L16" i="23"/>
  <c r="M16" i="23"/>
  <c r="N16" i="23"/>
  <c r="O16" i="23"/>
  <c r="P16" i="23"/>
  <c r="L14" i="27"/>
  <c r="M14" i="27"/>
  <c r="N14" i="27"/>
  <c r="O14" i="27"/>
  <c r="P14" i="27"/>
  <c r="L15" i="27"/>
  <c r="M15" i="27"/>
  <c r="N15" i="27"/>
  <c r="O15" i="27"/>
  <c r="P15" i="27"/>
  <c r="L16" i="27"/>
  <c r="M16" i="27"/>
  <c r="N16" i="27"/>
  <c r="O16" i="27"/>
  <c r="P16" i="27"/>
  <c r="L14" i="28"/>
  <c r="M14" i="28"/>
  <c r="N14" i="28"/>
  <c r="O14" i="28"/>
  <c r="P14" i="28"/>
  <c r="L15" i="28"/>
  <c r="M15" i="28"/>
  <c r="N15" i="28"/>
  <c r="O15" i="28"/>
  <c r="P15" i="28"/>
  <c r="L16" i="28"/>
  <c r="M16" i="28"/>
  <c r="N16" i="28"/>
  <c r="O16" i="28"/>
  <c r="P16" i="28"/>
  <c r="L14" i="25"/>
  <c r="M14" i="25"/>
  <c r="N14" i="25"/>
  <c r="O14" i="25"/>
  <c r="P14" i="25"/>
  <c r="L15" i="25"/>
  <c r="M15" i="25"/>
  <c r="N15" i="25"/>
  <c r="O15" i="25"/>
  <c r="P15" i="25"/>
  <c r="L16" i="25"/>
  <c r="M16" i="25"/>
  <c r="N16" i="25"/>
  <c r="O16" i="25"/>
  <c r="P16" i="25"/>
  <c r="L14" i="22"/>
  <c r="M14" i="22"/>
  <c r="N14" i="22"/>
  <c r="O14" i="22"/>
  <c r="P14" i="22"/>
  <c r="L15" i="22"/>
  <c r="M15" i="22"/>
  <c r="N15" i="22"/>
  <c r="O15" i="22"/>
  <c r="P15" i="22"/>
  <c r="L16" i="22"/>
  <c r="M16" i="22"/>
  <c r="N16" i="22"/>
  <c r="O16" i="22"/>
  <c r="P16" i="22"/>
  <c r="L14" i="29"/>
  <c r="M14" i="29"/>
  <c r="N14" i="29"/>
  <c r="O14" i="29"/>
  <c r="P14" i="29"/>
  <c r="L15" i="29"/>
  <c r="M15" i="29"/>
  <c r="N15" i="29"/>
  <c r="O15" i="29"/>
  <c r="P15" i="29"/>
  <c r="L16" i="29"/>
  <c r="M16" i="29"/>
  <c r="N16" i="29"/>
  <c r="O16" i="29"/>
  <c r="P16" i="29"/>
  <c r="L14" i="26"/>
  <c r="M14" i="26"/>
  <c r="N14" i="26"/>
  <c r="O14" i="26"/>
  <c r="P14" i="26"/>
  <c r="L15" i="26"/>
  <c r="M15" i="26"/>
  <c r="N15" i="26"/>
  <c r="O15" i="26"/>
  <c r="P15" i="26"/>
  <c r="L16" i="26"/>
  <c r="M16" i="26"/>
  <c r="N16" i="26"/>
  <c r="O16" i="26"/>
  <c r="P16" i="26"/>
  <c r="L14" i="24"/>
  <c r="M14" i="24"/>
  <c r="N14" i="24"/>
  <c r="O14" i="24"/>
  <c r="P14" i="24"/>
  <c r="L15" i="24"/>
  <c r="M15" i="24"/>
  <c r="N15" i="24"/>
  <c r="O15" i="24"/>
  <c r="P15" i="24"/>
  <c r="L16" i="24"/>
  <c r="M16" i="24"/>
  <c r="N16" i="24"/>
  <c r="O16" i="24"/>
  <c r="P16" i="24"/>
  <c r="L14" i="21"/>
  <c r="M14" i="21"/>
  <c r="N14" i="21"/>
  <c r="O14" i="21"/>
  <c r="P14" i="21"/>
  <c r="L15" i="21"/>
  <c r="M15" i="21"/>
  <c r="N15" i="21"/>
  <c r="O15" i="21"/>
  <c r="P15" i="21"/>
  <c r="L16" i="21"/>
  <c r="M16" i="21"/>
  <c r="N16" i="21"/>
  <c r="O16" i="21"/>
  <c r="P16" i="21"/>
  <c r="L14" i="20"/>
  <c r="M14" i="20"/>
  <c r="N14" i="20"/>
  <c r="O14" i="20"/>
  <c r="P14" i="20"/>
  <c r="L15" i="20"/>
  <c r="M15" i="20"/>
  <c r="N15" i="20"/>
  <c r="O15" i="20"/>
  <c r="P15" i="20"/>
  <c r="L16" i="20"/>
  <c r="M16" i="20"/>
  <c r="N16" i="20"/>
  <c r="O16" i="20"/>
  <c r="P16" i="20"/>
  <c r="K16" i="1"/>
  <c r="K16" i="4"/>
  <c r="K16" i="7"/>
  <c r="K16" i="8"/>
  <c r="K16" i="10"/>
  <c r="K16" i="11"/>
  <c r="K16" i="12"/>
  <c r="K16" i="13"/>
  <c r="K16" i="14"/>
  <c r="K16" i="16"/>
  <c r="K16" i="17"/>
  <c r="K16" i="23"/>
  <c r="K16" i="27"/>
  <c r="K16" i="28"/>
  <c r="K16" i="25"/>
  <c r="K16" i="22"/>
  <c r="K16" i="29"/>
  <c r="K16" i="26"/>
  <c r="K16" i="24"/>
  <c r="K16" i="21"/>
  <c r="K16" i="20"/>
  <c r="K15" i="1"/>
  <c r="K15" i="4"/>
  <c r="K15" i="7"/>
  <c r="K15" i="8"/>
  <c r="K15" i="10"/>
  <c r="K15" i="11"/>
  <c r="K15" i="12"/>
  <c r="K15" i="13"/>
  <c r="K15" i="14"/>
  <c r="K15" i="16"/>
  <c r="K15" i="17"/>
  <c r="K15" i="23"/>
  <c r="K15" i="27"/>
  <c r="K15" i="28"/>
  <c r="K15" i="25"/>
  <c r="K15" i="22"/>
  <c r="K15" i="29"/>
  <c r="K15" i="26"/>
  <c r="K15" i="24"/>
  <c r="K15" i="21"/>
  <c r="K15" i="20"/>
  <c r="K14" i="1"/>
  <c r="K14" i="4"/>
  <c r="K14" i="7"/>
  <c r="K14" i="8"/>
  <c r="K14" i="10"/>
  <c r="K14" i="11"/>
  <c r="K14" i="12"/>
  <c r="K14" i="13"/>
  <c r="K14" i="14"/>
  <c r="K14" i="16"/>
  <c r="K14" i="17"/>
  <c r="K14" i="23"/>
  <c r="K14" i="27"/>
  <c r="K14" i="28"/>
  <c r="K14" i="25"/>
  <c r="K14" i="22"/>
  <c r="K14" i="29"/>
  <c r="K14" i="26"/>
  <c r="K14" i="24"/>
  <c r="K14" i="21"/>
  <c r="K14" i="20"/>
  <c r="O29" i="24" l="1"/>
  <c r="L29" i="20"/>
  <c r="M29" i="29"/>
  <c r="M30" i="29" s="1"/>
  <c r="M29" i="27"/>
  <c r="M30" i="27" s="1"/>
  <c r="M29" i="16"/>
  <c r="M30" i="16" s="1"/>
  <c r="M29" i="12"/>
  <c r="M30" i="12" s="1"/>
  <c r="M17" i="20"/>
  <c r="M17" i="29"/>
  <c r="M17" i="27"/>
  <c r="O17" i="17"/>
  <c r="K29" i="27"/>
  <c r="K29" i="11"/>
  <c r="K29" i="7"/>
  <c r="M29" i="20"/>
  <c r="M30" i="20" s="1"/>
  <c r="N29" i="21"/>
  <c r="N30" i="21" s="1"/>
  <c r="M29" i="22"/>
  <c r="M30" i="22" s="1"/>
  <c r="M29" i="23"/>
  <c r="M30" i="23" s="1"/>
  <c r="M29" i="11"/>
  <c r="M30" i="11" s="1"/>
  <c r="M29" i="8"/>
  <c r="M30" i="8" s="1"/>
  <c r="M29" i="1"/>
  <c r="M30" i="1" s="1"/>
  <c r="P17" i="26"/>
  <c r="N17" i="29"/>
  <c r="O17" i="29"/>
  <c r="P17" i="29"/>
  <c r="L17" i="29"/>
  <c r="P17" i="28"/>
  <c r="L17" i="28"/>
  <c r="P17" i="17"/>
  <c r="L17" i="17"/>
  <c r="M17" i="12"/>
  <c r="M17" i="8"/>
  <c r="O29" i="4"/>
  <c r="O30" i="4" s="1"/>
  <c r="P29" i="17"/>
  <c r="P30" i="17" s="1"/>
  <c r="K29" i="21"/>
  <c r="K29" i="22"/>
  <c r="K29" i="23"/>
  <c r="K29" i="14"/>
  <c r="K29" i="10"/>
  <c r="K29" i="17"/>
  <c r="K29" i="13"/>
  <c r="K29" i="1"/>
  <c r="L29" i="16"/>
  <c r="L30" i="16" s="1"/>
  <c r="O17" i="14"/>
  <c r="N17" i="11"/>
  <c r="O17" i="10"/>
  <c r="N17" i="21"/>
  <c r="O17" i="24"/>
  <c r="P17" i="13"/>
  <c r="L17" i="13"/>
  <c r="N17" i="8"/>
  <c r="O17" i="8"/>
  <c r="P17" i="8"/>
  <c r="L17" i="8"/>
  <c r="M17" i="1"/>
  <c r="L29" i="23"/>
  <c r="L30" i="23" s="1"/>
  <c r="L29" i="26"/>
  <c r="L30" i="26" s="1"/>
  <c r="L29" i="17"/>
  <c r="L30" i="17" s="1"/>
  <c r="P29" i="11"/>
  <c r="P30" i="11" s="1"/>
  <c r="P29" i="26"/>
  <c r="P30" i="26" s="1"/>
  <c r="O29" i="14"/>
  <c r="O30" i="14" s="1"/>
  <c r="O29" i="11"/>
  <c r="O30" i="11" s="1"/>
  <c r="N29" i="11"/>
  <c r="N30" i="11" s="1"/>
  <c r="N29" i="7"/>
  <c r="N30" i="7" s="1"/>
  <c r="O29" i="25"/>
  <c r="O30" i="25" s="1"/>
  <c r="P29" i="23"/>
  <c r="P30" i="23" s="1"/>
  <c r="P29" i="20"/>
  <c r="P30" i="20" s="1"/>
  <c r="N29" i="22"/>
  <c r="N30" i="22" s="1"/>
  <c r="N29" i="23"/>
  <c r="N30" i="23" s="1"/>
  <c r="N29" i="16"/>
  <c r="N30" i="16" s="1"/>
  <c r="O29" i="16"/>
  <c r="O30" i="16" s="1"/>
  <c r="P29" i="16"/>
  <c r="P30" i="16" s="1"/>
  <c r="P29" i="13"/>
  <c r="P30" i="13" s="1"/>
  <c r="N29" i="10"/>
  <c r="N30" i="10" s="1"/>
  <c r="N29" i="29"/>
  <c r="N30" i="29" s="1"/>
  <c r="O29" i="29"/>
  <c r="O30" i="29" s="1"/>
  <c r="P29" i="29"/>
  <c r="P30" i="29" s="1"/>
  <c r="P29" i="28"/>
  <c r="P30" i="28" s="1"/>
  <c r="P29" i="4"/>
  <c r="P30" i="4" s="1"/>
  <c r="O30" i="24"/>
  <c r="O29" i="23"/>
  <c r="O30" i="23" s="1"/>
  <c r="O29" i="10"/>
  <c r="O30" i="10" s="1"/>
  <c r="K29" i="4"/>
  <c r="K29" i="24"/>
  <c r="K29" i="25"/>
  <c r="K29" i="26"/>
  <c r="K29" i="28"/>
  <c r="K29" i="16"/>
  <c r="K29" i="12"/>
  <c r="K29" i="8"/>
  <c r="L29" i="11"/>
  <c r="L30" i="11" s="1"/>
  <c r="L29" i="13"/>
  <c r="L30" i="13" s="1"/>
  <c r="K29" i="20"/>
  <c r="K29" i="29"/>
  <c r="L29" i="29"/>
  <c r="L30" i="29" s="1"/>
  <c r="L29" i="28"/>
  <c r="L30" i="28" s="1"/>
  <c r="L29" i="4"/>
  <c r="N17" i="22"/>
  <c r="N17" i="7"/>
  <c r="P17" i="20"/>
  <c r="L17" i="20"/>
  <c r="L17" i="26"/>
  <c r="N17" i="23"/>
  <c r="P17" i="12"/>
  <c r="L17" i="12"/>
  <c r="P17" i="4"/>
  <c r="L17" i="4"/>
  <c r="M17" i="16"/>
  <c r="M17" i="22"/>
  <c r="O17" i="25"/>
  <c r="O17" i="23"/>
  <c r="P17" i="23"/>
  <c r="L17" i="23"/>
  <c r="M17" i="23"/>
  <c r="P17" i="14"/>
  <c r="L17" i="14"/>
  <c r="M17" i="14"/>
  <c r="N17" i="14"/>
  <c r="M17" i="13"/>
  <c r="N17" i="13"/>
  <c r="O17" i="13"/>
  <c r="M17" i="7"/>
  <c r="M29" i="6"/>
  <c r="M30" i="6" s="1"/>
  <c r="N17" i="20"/>
  <c r="O17" i="22"/>
  <c r="P17" i="22"/>
  <c r="L17" i="22"/>
  <c r="M17" i="17"/>
  <c r="O17" i="12"/>
  <c r="O17" i="7"/>
  <c r="O29" i="20"/>
  <c r="O30" i="20" s="1"/>
  <c r="M29" i="10"/>
  <c r="M30" i="10" s="1"/>
  <c r="M29" i="5"/>
  <c r="M29" i="4"/>
  <c r="M30" i="4" s="1"/>
  <c r="P17" i="24"/>
  <c r="L17" i="24"/>
  <c r="M17" i="24"/>
  <c r="N17" i="24"/>
  <c r="M17" i="26"/>
  <c r="N17" i="26"/>
  <c r="O17" i="26"/>
  <c r="N17" i="27"/>
  <c r="O17" i="27"/>
  <c r="P17" i="27"/>
  <c r="L17" i="27"/>
  <c r="P17" i="10"/>
  <c r="L17" i="10"/>
  <c r="M17" i="10"/>
  <c r="N17" i="10"/>
  <c r="N17" i="1"/>
  <c r="O17" i="1"/>
  <c r="P17" i="1"/>
  <c r="L17" i="1"/>
  <c r="P29" i="24"/>
  <c r="P30" i="24" s="1"/>
  <c r="L29" i="24"/>
  <c r="L30" i="24" s="1"/>
  <c r="M29" i="24"/>
  <c r="M30" i="24" s="1"/>
  <c r="N29" i="24"/>
  <c r="N30" i="24" s="1"/>
  <c r="M29" i="26"/>
  <c r="M30" i="26" s="1"/>
  <c r="N29" i="26"/>
  <c r="N30" i="26" s="1"/>
  <c r="O29" i="26"/>
  <c r="O30" i="26" s="1"/>
  <c r="N29" i="27"/>
  <c r="N30" i="27" s="1"/>
  <c r="O29" i="27"/>
  <c r="O30" i="27" s="1"/>
  <c r="P29" i="27"/>
  <c r="P30" i="27" s="1"/>
  <c r="L29" i="27"/>
  <c r="L30" i="27" s="1"/>
  <c r="M29" i="19"/>
  <c r="M29" i="17"/>
  <c r="M30" i="17" s="1"/>
  <c r="N29" i="17"/>
  <c r="N30" i="17" s="1"/>
  <c r="O29" i="17"/>
  <c r="O30" i="17" s="1"/>
  <c r="N29" i="12"/>
  <c r="N30" i="12" s="1"/>
  <c r="O29" i="12"/>
  <c r="O30" i="12" s="1"/>
  <c r="P29" i="12"/>
  <c r="P30" i="12" s="1"/>
  <c r="L29" i="12"/>
  <c r="L30" i="12" s="1"/>
  <c r="O29" i="7"/>
  <c r="O30" i="7" s="1"/>
  <c r="P29" i="7"/>
  <c r="P30" i="7" s="1"/>
  <c r="L29" i="7"/>
  <c r="L30" i="7" s="1"/>
  <c r="M29" i="7"/>
  <c r="M30" i="7" s="1"/>
  <c r="O17" i="20"/>
  <c r="N17" i="17"/>
  <c r="N17" i="12"/>
  <c r="P17" i="7"/>
  <c r="L17" i="7"/>
  <c r="N29" i="20"/>
  <c r="N30" i="20" s="1"/>
  <c r="L30" i="20"/>
  <c r="O29" i="22"/>
  <c r="O30" i="22" s="1"/>
  <c r="P29" i="22"/>
  <c r="P30" i="22" s="1"/>
  <c r="L29" i="22"/>
  <c r="L30" i="22" s="1"/>
  <c r="P29" i="10"/>
  <c r="P30" i="10" s="1"/>
  <c r="L29" i="10"/>
  <c r="L30" i="10" s="1"/>
  <c r="N29" i="4"/>
  <c r="N30" i="4" s="1"/>
  <c r="O17" i="21"/>
  <c r="P17" i="21"/>
  <c r="L17" i="21"/>
  <c r="M17" i="21"/>
  <c r="P17" i="25"/>
  <c r="L17" i="25"/>
  <c r="M17" i="25"/>
  <c r="N17" i="25"/>
  <c r="M17" i="28"/>
  <c r="N17" i="28"/>
  <c r="O17" i="28"/>
  <c r="N17" i="16"/>
  <c r="O17" i="16"/>
  <c r="P17" i="16"/>
  <c r="L17" i="16"/>
  <c r="O17" i="11"/>
  <c r="P17" i="11"/>
  <c r="L17" i="11"/>
  <c r="M17" i="11"/>
  <c r="M17" i="4"/>
  <c r="N17" i="4"/>
  <c r="O17" i="4"/>
  <c r="O29" i="21"/>
  <c r="O30" i="21" s="1"/>
  <c r="P29" i="21"/>
  <c r="P30" i="21" s="1"/>
  <c r="L29" i="21"/>
  <c r="L30" i="21" s="1"/>
  <c r="M29" i="21"/>
  <c r="M30" i="21" s="1"/>
  <c r="P29" i="25"/>
  <c r="P30" i="25" s="1"/>
  <c r="L29" i="25"/>
  <c r="L30" i="25" s="1"/>
  <c r="M29" i="25"/>
  <c r="M30" i="25" s="1"/>
  <c r="N29" i="25"/>
  <c r="N30" i="25" s="1"/>
  <c r="M29" i="28"/>
  <c r="M30" i="28" s="1"/>
  <c r="O29" i="28"/>
  <c r="O30" i="28" s="1"/>
  <c r="P29" i="14"/>
  <c r="P30" i="14" s="1"/>
  <c r="L29" i="14"/>
  <c r="L30" i="14" s="1"/>
  <c r="M29" i="14"/>
  <c r="M30" i="14" s="1"/>
  <c r="N29" i="14"/>
  <c r="N30" i="14" s="1"/>
  <c r="M29" i="13"/>
  <c r="M30" i="13" s="1"/>
  <c r="N29" i="13"/>
  <c r="N30" i="13" s="1"/>
  <c r="O29" i="13"/>
  <c r="O30" i="13" s="1"/>
  <c r="N29" i="8"/>
  <c r="N30" i="8" s="1"/>
  <c r="O29" i="8"/>
  <c r="O30" i="8" s="1"/>
  <c r="P29" i="8"/>
  <c r="P30" i="8" s="1"/>
  <c r="L29" i="8"/>
  <c r="L30" i="8" s="1"/>
  <c r="N29" i="1"/>
  <c r="N30" i="1" s="1"/>
  <c r="O29" i="1"/>
  <c r="O30" i="1" s="1"/>
  <c r="P29" i="1"/>
  <c r="P30" i="1" s="1"/>
  <c r="L29" i="1"/>
  <c r="L30" i="1" s="1"/>
  <c r="N29" i="28"/>
  <c r="N30" i="28" s="1"/>
  <c r="M32" i="6" l="1"/>
  <c r="M30" i="5"/>
  <c r="M32" i="5"/>
  <c r="M30" i="19"/>
  <c r="M32" i="19"/>
  <c r="F40" i="10"/>
  <c r="F40" i="11"/>
  <c r="F40" i="13"/>
  <c r="F40" i="14"/>
  <c r="F40" i="17"/>
  <c r="F40" i="23"/>
  <c r="F40" i="27"/>
  <c r="F40" i="28"/>
  <c r="F40" i="25"/>
  <c r="F40" i="29"/>
  <c r="F40" i="26"/>
  <c r="F40" i="24"/>
  <c r="F40" i="12"/>
  <c r="F40" i="20"/>
  <c r="F40" i="21"/>
  <c r="G40" i="24" l="1"/>
  <c r="G40" i="26"/>
  <c r="G40" i="28"/>
  <c r="G40" i="21"/>
  <c r="G40" i="29"/>
  <c r="G40" i="22"/>
  <c r="G40" i="20"/>
  <c r="G40" i="23"/>
  <c r="G40" i="17"/>
  <c r="G40" i="16"/>
  <c r="G40" i="12"/>
  <c r="G40" i="11"/>
  <c r="G40" i="10"/>
  <c r="G40" i="14"/>
  <c r="G40" i="13"/>
  <c r="G40" i="25"/>
  <c r="F40" i="22"/>
  <c r="F40" i="16"/>
  <c r="G40" i="27"/>
  <c r="D25" i="7"/>
  <c r="K30" i="7" s="1"/>
  <c r="D25" i="10"/>
  <c r="K30" i="10" s="1"/>
  <c r="D25" i="11"/>
  <c r="K30" i="11" s="1"/>
  <c r="D25" i="14"/>
  <c r="K30" i="14" s="1"/>
  <c r="D25" i="20"/>
  <c r="K30" i="20" s="1"/>
  <c r="D25" i="25"/>
  <c r="K30" i="25" s="1"/>
  <c r="D25" i="22"/>
  <c r="K30" i="22" s="1"/>
  <c r="D25" i="24"/>
  <c r="K30" i="24" s="1"/>
  <c r="D25" i="21"/>
  <c r="K30" i="21" s="1"/>
  <c r="N18" i="1"/>
  <c r="M18" i="4"/>
  <c r="O18" i="7"/>
  <c r="N18" i="8"/>
  <c r="L18" i="10"/>
  <c r="P18" i="10"/>
  <c r="O18" i="11"/>
  <c r="N18" i="12"/>
  <c r="L18" i="14"/>
  <c r="P18" i="14"/>
  <c r="N18" i="16"/>
  <c r="O18" i="20"/>
  <c r="N18" i="27"/>
  <c r="L18" i="25"/>
  <c r="P18" i="25"/>
  <c r="O18" i="22"/>
  <c r="N18" i="29"/>
  <c r="L18" i="24"/>
  <c r="P18" i="24"/>
  <c r="O18" i="21"/>
  <c r="N18" i="23"/>
  <c r="N18" i="4"/>
  <c r="L18" i="7"/>
  <c r="P18" i="7"/>
  <c r="O18" i="8"/>
  <c r="L18" i="11"/>
  <c r="P18" i="11"/>
  <c r="O18" i="12"/>
  <c r="N18" i="13"/>
  <c r="O18" i="16"/>
  <c r="N18" i="17"/>
  <c r="L18" i="20"/>
  <c r="P18" i="20"/>
  <c r="O18" i="27"/>
  <c r="N18" i="28"/>
  <c r="L18" i="22"/>
  <c r="P18" i="22"/>
  <c r="O18" i="29"/>
  <c r="N18" i="26"/>
  <c r="L18" i="21"/>
  <c r="P18" i="21"/>
  <c r="O18" i="23"/>
  <c r="L18" i="1"/>
  <c r="O18" i="1"/>
  <c r="P18" i="1"/>
  <c r="O18" i="4"/>
  <c r="P18" i="4"/>
  <c r="L18" i="8"/>
  <c r="P18" i="8"/>
  <c r="N18" i="10"/>
  <c r="O18" i="10"/>
  <c r="N18" i="11"/>
  <c r="L18" i="12"/>
  <c r="P18" i="12"/>
  <c r="L18" i="13"/>
  <c r="O18" i="13"/>
  <c r="P18" i="13"/>
  <c r="N18" i="14"/>
  <c r="O18" i="14"/>
  <c r="L18" i="16"/>
  <c r="P18" i="16"/>
  <c r="L18" i="17"/>
  <c r="O18" i="17"/>
  <c r="P18" i="17"/>
  <c r="L18" i="27"/>
  <c r="P18" i="27"/>
  <c r="L18" i="28"/>
  <c r="O18" i="28"/>
  <c r="P18" i="28"/>
  <c r="N18" i="25"/>
  <c r="O18" i="25"/>
  <c r="N18" i="22"/>
  <c r="L18" i="29"/>
  <c r="P18" i="29"/>
  <c r="L18" i="26"/>
  <c r="O18" i="26"/>
  <c r="P18" i="26"/>
  <c r="N18" i="24"/>
  <c r="O18" i="24"/>
  <c r="L18" i="23"/>
  <c r="P18" i="23"/>
  <c r="M18" i="27" l="1"/>
  <c r="M18" i="8"/>
  <c r="M18" i="16"/>
  <c r="M18" i="11"/>
  <c r="M18" i="28"/>
  <c r="M18" i="13"/>
  <c r="M18" i="29"/>
  <c r="M18" i="20"/>
  <c r="M18" i="26"/>
  <c r="M18" i="17"/>
  <c r="M18" i="21"/>
  <c r="M18" i="22"/>
  <c r="M18" i="10"/>
  <c r="M18" i="1"/>
  <c r="M18" i="12"/>
  <c r="M18" i="14"/>
  <c r="M18" i="23"/>
  <c r="M18" i="25"/>
  <c r="M18" i="7"/>
  <c r="M18" i="24"/>
  <c r="N18" i="21"/>
  <c r="N18" i="20"/>
  <c r="N18" i="7"/>
  <c r="D25" i="26"/>
  <c r="K30" i="26" s="1"/>
  <c r="D25" i="28"/>
  <c r="K30" i="28" s="1"/>
  <c r="D25" i="17"/>
  <c r="K30" i="17" s="1"/>
  <c r="D25" i="13"/>
  <c r="K30" i="13" s="1"/>
  <c r="D25" i="4"/>
  <c r="K30" i="4" s="1"/>
  <c r="L18" i="4"/>
  <c r="D25" i="23"/>
  <c r="K30" i="23" s="1"/>
  <c r="D25" i="29"/>
  <c r="K30" i="29" s="1"/>
  <c r="D25" i="27"/>
  <c r="K30" i="27" s="1"/>
  <c r="D25" i="16"/>
  <c r="K30" i="16" s="1"/>
  <c r="D25" i="12"/>
  <c r="K30" i="12" s="1"/>
  <c r="D25" i="8"/>
  <c r="K30" i="8" s="1"/>
  <c r="D25" i="1"/>
  <c r="K30" i="1" s="1"/>
  <c r="K17" i="1"/>
  <c r="K18" i="1" s="1"/>
  <c r="K17" i="7"/>
  <c r="K18" i="7" s="1"/>
  <c r="K17" i="8"/>
  <c r="K18" i="8" s="1"/>
  <c r="K17" i="10"/>
  <c r="K18" i="10" s="1"/>
  <c r="K17" i="11"/>
  <c r="K18" i="11" s="1"/>
  <c r="K17" i="12"/>
  <c r="K18" i="12" s="1"/>
  <c r="K17" i="13"/>
  <c r="K18" i="13" s="1"/>
  <c r="K17" i="14"/>
  <c r="K18" i="14" s="1"/>
  <c r="K17" i="16"/>
  <c r="K18" i="16" s="1"/>
  <c r="K17" i="17"/>
  <c r="K18" i="17" s="1"/>
  <c r="K17" i="23"/>
  <c r="K18" i="23" s="1"/>
  <c r="K17" i="20"/>
  <c r="K18" i="20" s="1"/>
  <c r="K17" i="27"/>
  <c r="K18" i="27" s="1"/>
  <c r="K17" i="28"/>
  <c r="K18" i="28" s="1"/>
  <c r="K17" i="25"/>
  <c r="K18" i="25" s="1"/>
  <c r="K17" i="22"/>
  <c r="K18" i="22" s="1"/>
  <c r="K17" i="29"/>
  <c r="K18" i="29" s="1"/>
  <c r="K17" i="26"/>
  <c r="K18" i="26" s="1"/>
  <c r="K17" i="24"/>
  <c r="K18" i="24" s="1"/>
  <c r="K17" i="21"/>
  <c r="K18" i="21" s="1"/>
  <c r="K17" i="4"/>
  <c r="K18" i="4" s="1"/>
  <c r="N16" i="19" l="1"/>
  <c r="N15" i="19" l="1"/>
  <c r="N14" i="19"/>
  <c r="L28" i="6"/>
  <c r="L28" i="5"/>
  <c r="L28" i="19"/>
  <c r="N17" i="19" l="1"/>
  <c r="N20" i="19" s="1"/>
  <c r="L26" i="19"/>
  <c r="L26" i="5"/>
  <c r="L26" i="6"/>
  <c r="L27" i="19"/>
  <c r="L27" i="5"/>
  <c r="L27" i="6"/>
  <c r="L30" i="4"/>
  <c r="L29" i="19" l="1"/>
  <c r="N18" i="19"/>
  <c r="L29" i="5"/>
  <c r="L32" i="5" s="1"/>
  <c r="L32" i="19"/>
  <c r="E25" i="19"/>
  <c r="E25" i="5"/>
  <c r="L29" i="6"/>
  <c r="E25" i="6"/>
  <c r="N16" i="6"/>
  <c r="H56" i="5"/>
  <c r="I56" i="5"/>
  <c r="H57" i="5"/>
  <c r="I57" i="5"/>
  <c r="H58" i="5"/>
  <c r="I58" i="5"/>
  <c r="H59" i="5"/>
  <c r="I59" i="5"/>
  <c r="H64" i="5"/>
  <c r="I64" i="5"/>
  <c r="H65" i="5"/>
  <c r="I65" i="5"/>
  <c r="H66" i="5"/>
  <c r="I66" i="5"/>
  <c r="H67" i="5"/>
  <c r="I67" i="5"/>
  <c r="H68" i="5"/>
  <c r="I68" i="5"/>
  <c r="H69" i="5"/>
  <c r="I69" i="5"/>
  <c r="H70" i="5"/>
  <c r="I70" i="5"/>
  <c r="H71" i="5"/>
  <c r="I71" i="5"/>
  <c r="H72" i="5"/>
  <c r="I72" i="5"/>
  <c r="H73" i="5"/>
  <c r="I73" i="5"/>
  <c r="H74" i="5"/>
  <c r="I74" i="5"/>
  <c r="E56" i="5"/>
  <c r="E57" i="5"/>
  <c r="E58" i="5"/>
  <c r="E59" i="5"/>
  <c r="E64" i="5"/>
  <c r="E65" i="5"/>
  <c r="E66" i="5"/>
  <c r="E67" i="5"/>
  <c r="E68" i="5"/>
  <c r="E69" i="5"/>
  <c r="E70" i="5"/>
  <c r="E71" i="5"/>
  <c r="E72" i="5"/>
  <c r="E73" i="5"/>
  <c r="E74" i="5"/>
  <c r="G56" i="5"/>
  <c r="G57" i="5"/>
  <c r="G58" i="5"/>
  <c r="G59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F56" i="5"/>
  <c r="F57" i="5"/>
  <c r="F58" i="5"/>
  <c r="F59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K28" i="5"/>
  <c r="K16" i="5"/>
  <c r="L16" i="5"/>
  <c r="M16" i="5"/>
  <c r="O15" i="5"/>
  <c r="N16" i="5"/>
  <c r="O16" i="5"/>
  <c r="O28" i="5"/>
  <c r="P16" i="5"/>
  <c r="P28" i="5"/>
  <c r="H56" i="6"/>
  <c r="I56" i="6"/>
  <c r="H57" i="6"/>
  <c r="I57" i="6"/>
  <c r="H58" i="6"/>
  <c r="I58" i="6"/>
  <c r="H59" i="6"/>
  <c r="I59" i="6"/>
  <c r="H64" i="6"/>
  <c r="I64" i="6"/>
  <c r="H65" i="6"/>
  <c r="I65" i="6"/>
  <c r="H66" i="6"/>
  <c r="I66" i="6"/>
  <c r="H67" i="6"/>
  <c r="I67" i="6"/>
  <c r="H68" i="6"/>
  <c r="I68" i="6"/>
  <c r="H69" i="6"/>
  <c r="I69" i="6"/>
  <c r="H70" i="6"/>
  <c r="I70" i="6"/>
  <c r="H71" i="6"/>
  <c r="I71" i="6"/>
  <c r="H72" i="6"/>
  <c r="I72" i="6"/>
  <c r="H73" i="6"/>
  <c r="I73" i="6"/>
  <c r="H74" i="6"/>
  <c r="I74" i="6"/>
  <c r="E56" i="6"/>
  <c r="E57" i="6"/>
  <c r="E58" i="6"/>
  <c r="E59" i="6"/>
  <c r="E64" i="6"/>
  <c r="E65" i="6"/>
  <c r="E66" i="6"/>
  <c r="E67" i="6"/>
  <c r="E68" i="6"/>
  <c r="E69" i="6"/>
  <c r="E70" i="6"/>
  <c r="E71" i="6"/>
  <c r="E72" i="6"/>
  <c r="E73" i="6"/>
  <c r="E74" i="6"/>
  <c r="F56" i="6"/>
  <c r="G56" i="6"/>
  <c r="F57" i="6"/>
  <c r="G57" i="6"/>
  <c r="F58" i="6"/>
  <c r="G58" i="6"/>
  <c r="F59" i="6"/>
  <c r="G59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K16" i="6"/>
  <c r="K28" i="6"/>
  <c r="O16" i="6"/>
  <c r="P16" i="6"/>
  <c r="O28" i="6"/>
  <c r="P28" i="6"/>
  <c r="M16" i="6"/>
  <c r="I56" i="19"/>
  <c r="I57" i="19"/>
  <c r="I58" i="19"/>
  <c r="I59" i="19"/>
  <c r="I64" i="19"/>
  <c r="I65" i="19"/>
  <c r="I66" i="19"/>
  <c r="I67" i="19"/>
  <c r="I68" i="19"/>
  <c r="I69" i="19"/>
  <c r="I70" i="19"/>
  <c r="I71" i="19"/>
  <c r="I72" i="19"/>
  <c r="I73" i="19"/>
  <c r="I74" i="19"/>
  <c r="H56" i="19"/>
  <c r="H57" i="19"/>
  <c r="H58" i="19"/>
  <c r="H59" i="19"/>
  <c r="H64" i="19"/>
  <c r="H65" i="19"/>
  <c r="H66" i="19"/>
  <c r="H67" i="19"/>
  <c r="H68" i="19"/>
  <c r="H69" i="19"/>
  <c r="H70" i="19"/>
  <c r="H71" i="19"/>
  <c r="H72" i="19"/>
  <c r="H73" i="19"/>
  <c r="H74" i="19"/>
  <c r="E56" i="19"/>
  <c r="E57" i="19"/>
  <c r="E58" i="19"/>
  <c r="E59" i="19"/>
  <c r="E64" i="19"/>
  <c r="E65" i="19"/>
  <c r="E66" i="19"/>
  <c r="E67" i="19"/>
  <c r="E68" i="19"/>
  <c r="E69" i="19"/>
  <c r="E70" i="19"/>
  <c r="E71" i="19"/>
  <c r="E72" i="19"/>
  <c r="E73" i="19"/>
  <c r="E74" i="19"/>
  <c r="G56" i="19"/>
  <c r="G57" i="19"/>
  <c r="G58" i="19"/>
  <c r="G59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F56" i="19"/>
  <c r="F57" i="19"/>
  <c r="F58" i="19"/>
  <c r="F59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O28" i="19"/>
  <c r="K28" i="19"/>
  <c r="O16" i="19"/>
  <c r="L16" i="19"/>
  <c r="K16" i="19"/>
  <c r="M16" i="19"/>
  <c r="P16" i="19"/>
  <c r="P28" i="19"/>
  <c r="L30" i="19" l="1"/>
  <c r="L30" i="5"/>
  <c r="O15" i="6"/>
  <c r="P27" i="19"/>
  <c r="P15" i="19"/>
  <c r="M15" i="6"/>
  <c r="P27" i="6"/>
  <c r="O27" i="5"/>
  <c r="N15" i="5"/>
  <c r="P26" i="19"/>
  <c r="P14" i="19"/>
  <c r="L14" i="19"/>
  <c r="O14" i="19"/>
  <c r="M14" i="6"/>
  <c r="N26" i="6"/>
  <c r="P14" i="6"/>
  <c r="L16" i="6"/>
  <c r="O14" i="5"/>
  <c r="O17" i="5" s="1"/>
  <c r="K14" i="5"/>
  <c r="L32" i="6"/>
  <c r="L30" i="6"/>
  <c r="K15" i="19"/>
  <c r="O27" i="19"/>
  <c r="O27" i="6"/>
  <c r="L15" i="6"/>
  <c r="N27" i="5"/>
  <c r="M15" i="5"/>
  <c r="K26" i="19"/>
  <c r="N26" i="19"/>
  <c r="O26" i="6"/>
  <c r="L14" i="5"/>
  <c r="O26" i="19"/>
  <c r="P26" i="6"/>
  <c r="N14" i="6"/>
  <c r="K26" i="6"/>
  <c r="K14" i="6"/>
  <c r="P26" i="5"/>
  <c r="P14" i="5"/>
  <c r="N26" i="5"/>
  <c r="M14" i="5"/>
  <c r="K26" i="5"/>
  <c r="M14" i="19"/>
  <c r="K14" i="19"/>
  <c r="O14" i="6"/>
  <c r="L14" i="6"/>
  <c r="H25" i="5"/>
  <c r="O26" i="5"/>
  <c r="N14" i="5"/>
  <c r="K15" i="6"/>
  <c r="N15" i="6"/>
  <c r="M15" i="19"/>
  <c r="K27" i="19"/>
  <c r="P15" i="6"/>
  <c r="L15" i="19"/>
  <c r="O15" i="19"/>
  <c r="N27" i="19"/>
  <c r="N27" i="6"/>
  <c r="K27" i="6"/>
  <c r="P27" i="5"/>
  <c r="P15" i="5"/>
  <c r="K15" i="5"/>
  <c r="L15" i="5"/>
  <c r="K27" i="5"/>
  <c r="N28" i="6"/>
  <c r="N28" i="5"/>
  <c r="N28" i="19"/>
  <c r="P17" i="19" l="1"/>
  <c r="P18" i="19" s="1"/>
  <c r="O29" i="5"/>
  <c r="O30" i="5" s="1"/>
  <c r="N17" i="5"/>
  <c r="N20" i="5" s="1"/>
  <c r="P29" i="6"/>
  <c r="P32" i="6" s="1"/>
  <c r="M17" i="6"/>
  <c r="M20" i="6" s="1"/>
  <c r="L17" i="19"/>
  <c r="L20" i="19" s="1"/>
  <c r="I25" i="19"/>
  <c r="P29" i="5"/>
  <c r="P32" i="5" s="1"/>
  <c r="O17" i="6"/>
  <c r="O20" i="6" s="1"/>
  <c r="P17" i="5"/>
  <c r="P20" i="5" s="1"/>
  <c r="H25" i="19"/>
  <c r="L17" i="5"/>
  <c r="L20" i="5" s="1"/>
  <c r="N17" i="6"/>
  <c r="N20" i="6" s="1"/>
  <c r="K29" i="19"/>
  <c r="K32" i="19" s="1"/>
  <c r="K17" i="5"/>
  <c r="K20" i="5" s="1"/>
  <c r="O29" i="19"/>
  <c r="O32" i="19" s="1"/>
  <c r="D25" i="19"/>
  <c r="L17" i="6"/>
  <c r="L20" i="6" s="1"/>
  <c r="G25" i="6"/>
  <c r="P29" i="19"/>
  <c r="P32" i="19" s="1"/>
  <c r="N29" i="5"/>
  <c r="N32" i="5" s="1"/>
  <c r="K17" i="6"/>
  <c r="K20" i="6" s="1"/>
  <c r="O29" i="6"/>
  <c r="O32" i="6" s="1"/>
  <c r="G40" i="6"/>
  <c r="F40" i="6"/>
  <c r="O18" i="5"/>
  <c r="O20" i="5"/>
  <c r="F40" i="19"/>
  <c r="N29" i="19"/>
  <c r="P17" i="6"/>
  <c r="H25" i="6"/>
  <c r="K17" i="19"/>
  <c r="K20" i="19" s="1"/>
  <c r="K29" i="5"/>
  <c r="I25" i="5"/>
  <c r="K29" i="6"/>
  <c r="G25" i="19"/>
  <c r="O17" i="19"/>
  <c r="N29" i="6"/>
  <c r="N32" i="6" s="1"/>
  <c r="M17" i="19"/>
  <c r="D25" i="5"/>
  <c r="G25" i="5"/>
  <c r="D25" i="6"/>
  <c r="I25" i="6"/>
  <c r="M17" i="5"/>
  <c r="F40" i="5"/>
  <c r="G40" i="5"/>
  <c r="G40" i="19"/>
  <c r="P20" i="19" l="1"/>
  <c r="N18" i="5"/>
  <c r="L18" i="5"/>
  <c r="L18" i="6"/>
  <c r="O32" i="5"/>
  <c r="P30" i="5"/>
  <c r="O30" i="19"/>
  <c r="N18" i="6"/>
  <c r="P30" i="6"/>
  <c r="N30" i="6"/>
  <c r="P30" i="19"/>
  <c r="L18" i="19"/>
  <c r="K18" i="5"/>
  <c r="O18" i="6"/>
  <c r="M18" i="6"/>
  <c r="P18" i="5"/>
  <c r="K18" i="6"/>
  <c r="O30" i="6"/>
  <c r="K30" i="19"/>
  <c r="N30" i="5"/>
  <c r="M18" i="5"/>
  <c r="M20" i="5"/>
  <c r="M18" i="19"/>
  <c r="M20" i="19"/>
  <c r="K32" i="5"/>
  <c r="K30" i="5"/>
  <c r="O18" i="19"/>
  <c r="O20" i="19"/>
  <c r="N30" i="19"/>
  <c r="N32" i="19"/>
  <c r="K32" i="6"/>
  <c r="K30" i="6"/>
  <c r="P18" i="6"/>
  <c r="P20" i="6"/>
  <c r="K18" i="19"/>
  <c r="O33" i="19"/>
  <c r="F91" i="6"/>
  <c r="G91" i="6"/>
</calcChain>
</file>

<file path=xl/sharedStrings.xml><?xml version="1.0" encoding="utf-8"?>
<sst xmlns="http://schemas.openxmlformats.org/spreadsheetml/2006/main" count="7914" uniqueCount="202">
  <si>
    <t>Aprobat prin ordinul Ministrului</t>
  </si>
  <si>
    <t>al Finanţelor al Republicii Moldova</t>
  </si>
  <si>
    <t>nr.___________al___________</t>
  </si>
  <si>
    <t>Retea, state si contingente ale instituriilor</t>
  </si>
  <si>
    <t>Denumirea indicatorului</t>
  </si>
  <si>
    <t>codificatorul formularului</t>
  </si>
  <si>
    <t>Codul rindului</t>
  </si>
  <si>
    <t>Aprobat la inceputul anului</t>
  </si>
  <si>
    <t>Aprobat la sfirsitul anului</t>
  </si>
  <si>
    <t>Numarul mediu prevazut pe an</t>
  </si>
  <si>
    <t>Real incadrat la începutul anului</t>
  </si>
  <si>
    <t>Real incadratla sfîrsitul perioadei</t>
  </si>
  <si>
    <t>x</t>
  </si>
  <si>
    <t>funcții didactice, inclusiv</t>
  </si>
  <si>
    <t>de conducere</t>
  </si>
  <si>
    <t>de execuție, din care</t>
  </si>
  <si>
    <t>cadre didactice de sprijin</t>
  </si>
  <si>
    <t>funcții de specialitate, inclusiv</t>
  </si>
  <si>
    <t>de execuție</t>
  </si>
  <si>
    <t>funcții complexe, inclusiv</t>
  </si>
  <si>
    <t>muncitori</t>
  </si>
  <si>
    <t>Personal angajat în total, inclusiv</t>
  </si>
  <si>
    <t>Numărul personalului didactic beneficiar de compensații anuale, inclusiv</t>
  </si>
  <si>
    <t>Cheltuieli pentru acordarea compensațiilor bănești anuale cadrelor didactice</t>
  </si>
  <si>
    <t>RAPORT nr. 3-8 privind învățămîntul primar, gimnazial și liceal</t>
  </si>
  <si>
    <t>Instituții în total, inclusiv</t>
  </si>
  <si>
    <t>filiale</t>
  </si>
  <si>
    <t>Unități în state (posturi) în total, inclusiv</t>
  </si>
  <si>
    <t>de execuție din care</t>
  </si>
  <si>
    <t>cu funcție de conducere</t>
  </si>
  <si>
    <t>cu funcție de execuție</t>
  </si>
  <si>
    <t>Retibuirea muncii în total, inclusiv</t>
  </si>
  <si>
    <t>Clase în total, inclusiv:</t>
  </si>
  <si>
    <t>clasele 1-4</t>
  </si>
  <si>
    <t>clasele 5-9</t>
  </si>
  <si>
    <t>clasele 10-12</t>
  </si>
  <si>
    <t>Clase cu profil sportiv, inclusiv:</t>
  </si>
  <si>
    <t>Elevi în total, inclusiv:</t>
  </si>
  <si>
    <t>Elevi în total din clasele cu profil sportiv, inclusiv:</t>
  </si>
  <si>
    <t>Elevi alimentați, în total, inclusiv:</t>
  </si>
  <si>
    <t>Elevi alimentați din clasele 1-4, asigurați cu micul dejun</t>
  </si>
  <si>
    <t>Elevi din clasele 5-9(12), ce beneficiază de alimentație</t>
  </si>
  <si>
    <t>Elevi alimentați, din grupe cu regim prelungit</t>
  </si>
  <si>
    <t>Alte categorii de elevi alimentați</t>
  </si>
  <si>
    <t>Elevi alimentați din clasele 5-8, din licee-internat cu profil sportiv</t>
  </si>
  <si>
    <t>Elevi alimentați din clasele 9-12, din licee-internat cu profil sportiv</t>
  </si>
  <si>
    <t>Zile de alimentare a elevilor, în total</t>
  </si>
  <si>
    <t>Zile de alimentare a elevilor din clasele 1-4, asigurați cu micul dejun</t>
  </si>
  <si>
    <t>Zile de alimentare a elevilor din clasele 5-9(12),ce beneficiaza de alimentație</t>
  </si>
  <si>
    <t>Zile de alimentare a elevilor, din grupe cu regim prelungit</t>
  </si>
  <si>
    <t>Zile de alimentare a altor categorii de elevi alimentați</t>
  </si>
  <si>
    <t>Zile de alimentare a elevilor din clasele 5-8, din licee-internat cu profil sportiv</t>
  </si>
  <si>
    <t>Zile de alimentare a elevilor din clasele 9-12, din licee-internat cu profil sportiv</t>
  </si>
  <si>
    <t>Cheltuieli pentru alimentarea elevilor, în total, inclusiv</t>
  </si>
  <si>
    <t>Cheltuieli pentru alimentarea elevilor din clasele 1-4, asigurați cu micul dejun</t>
  </si>
  <si>
    <t>Cheltuieli pentru alimentarea elevilor din clasele 5-9(12), ce beneficiază de alimentație</t>
  </si>
  <si>
    <t>Cheltuieli pentru alimentarea elevilor, din grupele cu regim prelungit</t>
  </si>
  <si>
    <t>Cheltuieli pentru alimentarea altor categorii de elevi alimentați</t>
  </si>
  <si>
    <t>Cheltuieli pentru alimentarea elevilor din clasele 5-8, din licee-internat cu profil sportiv</t>
  </si>
  <si>
    <t>Cheltuieli pentru alimentarea elevilor din clasele 9-12, din licee-internat cu profil sportiv</t>
  </si>
  <si>
    <t>Numarul mediu realizat la 01.01.2020</t>
  </si>
  <si>
    <t>0912</t>
  </si>
  <si>
    <t>8803</t>
  </si>
  <si>
    <t>0300</t>
  </si>
  <si>
    <t>09881</t>
  </si>
  <si>
    <t>09864</t>
  </si>
  <si>
    <t>0921</t>
  </si>
  <si>
    <t>8804</t>
  </si>
  <si>
    <t>09865</t>
  </si>
  <si>
    <t>09868</t>
  </si>
  <si>
    <t>09869</t>
  </si>
  <si>
    <t>09871</t>
  </si>
  <si>
    <t>04151</t>
  </si>
  <si>
    <t>09875</t>
  </si>
  <si>
    <t>14274</t>
  </si>
  <si>
    <t>09878</t>
  </si>
  <si>
    <t>04157</t>
  </si>
  <si>
    <t>0922</t>
  </si>
  <si>
    <t>8806</t>
  </si>
  <si>
    <t>09880</t>
  </si>
  <si>
    <t>09872</t>
  </si>
  <si>
    <t>04156</t>
  </si>
  <si>
    <t>09877</t>
  </si>
  <si>
    <t>09870</t>
  </si>
  <si>
    <t>09874</t>
  </si>
  <si>
    <t>09863</t>
  </si>
  <si>
    <t>09867</t>
  </si>
  <si>
    <t>09873</t>
  </si>
  <si>
    <t>cond.</t>
  </si>
  <si>
    <t>exec</t>
  </si>
  <si>
    <t>Total</t>
  </si>
  <si>
    <t>control</t>
  </si>
  <si>
    <t>48-BL</t>
  </si>
  <si>
    <t>X</t>
  </si>
  <si>
    <t>FD-048-BL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</si>
  <si>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</si>
  <si>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</si>
  <si>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</si>
  <si>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</si>
  <si>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</si>
  <si>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</si>
  <si>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</si>
  <si>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</si>
  <si>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</si>
  <si>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</si>
  <si>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</si>
  <si>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</si>
  <si>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</si>
  <si>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</si>
  <si>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</si>
  <si>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</si>
  <si>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</si>
  <si>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8.18</t>
  </si>
  <si>
    <t>8.19</t>
  </si>
  <si>
    <t>8.20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</si>
  <si>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</si>
  <si>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</si>
  <si>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</si>
  <si>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</si>
  <si>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</si>
  <si>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</si>
  <si>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</si>
  <si>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</si>
  <si>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</si>
  <si>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8.30</t>
  </si>
  <si>
    <t>8.31</t>
  </si>
  <si>
    <t>8.32</t>
  </si>
  <si>
    <t>8.33</t>
  </si>
  <si>
    <t>8.34</t>
  </si>
  <si>
    <t>8.35</t>
  </si>
  <si>
    <t>8.36</t>
  </si>
  <si>
    <t>8.37</t>
  </si>
  <si>
    <t>8.38</t>
  </si>
  <si>
    <t>8.39</t>
  </si>
  <si>
    <t>8.40</t>
  </si>
  <si>
    <t>8.41</t>
  </si>
  <si>
    <t>8.42</t>
  </si>
  <si>
    <t>8.43</t>
  </si>
  <si>
    <t>8.44</t>
  </si>
  <si>
    <t>8.45</t>
  </si>
  <si>
    <t>8.46</t>
  </si>
  <si>
    <t>8.47</t>
  </si>
  <si>
    <t>8.48</t>
  </si>
  <si>
    <t>8.49</t>
  </si>
  <si>
    <t>8.50</t>
  </si>
  <si>
    <t>8.51</t>
  </si>
  <si>
    <t>8.52</t>
  </si>
  <si>
    <t>8.53</t>
  </si>
  <si>
    <t>8.54</t>
  </si>
  <si>
    <t>8.55</t>
  </si>
  <si>
    <t>8.56</t>
  </si>
  <si>
    <t>8.57</t>
  </si>
  <si>
    <t>8.58</t>
  </si>
  <si>
    <t>8.59</t>
  </si>
  <si>
    <t>8.60</t>
  </si>
  <si>
    <t>8.61</t>
  </si>
  <si>
    <t>8.62</t>
  </si>
  <si>
    <t>8.63</t>
  </si>
  <si>
    <t>8.64</t>
  </si>
  <si>
    <t>8.65</t>
  </si>
  <si>
    <t>8.66</t>
  </si>
  <si>
    <t>8.67</t>
  </si>
  <si>
    <t>8.68</t>
  </si>
  <si>
    <t>8.69</t>
  </si>
  <si>
    <t>8.70</t>
  </si>
  <si>
    <t>8.71</t>
  </si>
  <si>
    <t>8.72</t>
  </si>
  <si>
    <t>8.73</t>
  </si>
  <si>
    <t>8.74</t>
  </si>
  <si>
    <t>8.75</t>
  </si>
  <si>
    <t>8.76</t>
  </si>
  <si>
    <t>8.77</t>
  </si>
  <si>
    <t>8.78</t>
  </si>
  <si>
    <t>8.79</t>
  </si>
  <si>
    <t>00492</t>
  </si>
  <si>
    <t>total sc prim</t>
  </si>
  <si>
    <t>total gimnazii</t>
  </si>
  <si>
    <t>total licee</t>
  </si>
  <si>
    <t>Real incadrat la sfîrsitul perioadei</t>
  </si>
  <si>
    <t>sc prim 16</t>
  </si>
  <si>
    <t>sc prim 21</t>
  </si>
  <si>
    <t>gim 2</t>
  </si>
  <si>
    <t>gim 3</t>
  </si>
  <si>
    <t>gim 6</t>
  </si>
  <si>
    <t>gim 7</t>
  </si>
  <si>
    <t>gim 9</t>
  </si>
  <si>
    <t>gim 10</t>
  </si>
  <si>
    <t>gim 14</t>
  </si>
  <si>
    <t>gim 19</t>
  </si>
  <si>
    <t>Cuza</t>
  </si>
  <si>
    <t>cant</t>
  </si>
  <si>
    <t>hajdeu</t>
  </si>
  <si>
    <t>blaga</t>
  </si>
  <si>
    <t>lomonos</t>
  </si>
  <si>
    <t>gorkii</t>
  </si>
  <si>
    <t>maiak</t>
  </si>
  <si>
    <t>st. cel mare</t>
  </si>
  <si>
    <t>puskin</t>
  </si>
  <si>
    <t>alecsandri</t>
  </si>
  <si>
    <t>în perioada Tr.2 -2024</t>
  </si>
  <si>
    <t xml:space="preserve">                                                                                                                          Retea, state si contingente ale instituriilor                                                                                                           cosbuc</t>
  </si>
  <si>
    <t>Numarul mediu realizat la 30.09.2025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</si>
</sst>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charset val="204"/>
      <scheme val="minor"/>
    </font>
    <font>
      <sz val="7"/>
      <color theme="1"/>
      <name val="Arial Unicode MS"/>
      <family val="2"/>
      <charset val="204"/>
    </font>
    <font>
      <b/>
      <sz val="7"/>
      <color theme="1"/>
      <name val="Arial Unicode MS"/>
      <family val="2"/>
      <charset val="204"/>
    </font>
    <font>
      <sz val="7"/>
      <color rgb="FF000000"/>
      <name val="Arial Unicode MS"/>
      <family val="2"/>
      <charset val="204"/>
    </font>
    <font>
      <b/>
      <sz val="10"/>
      <color theme="1"/>
      <name val="Arial Unicode MS"/>
      <family val="2"/>
      <charset val="204"/>
    </font>
    <font>
      <sz val="10"/>
      <color theme="1"/>
      <name val="Arial Unicode MS"/>
      <family val="2"/>
      <charset val="204"/>
    </font>
    <font>
      <b/>
      <sz val="12"/>
      <color theme="1"/>
      <name val="Arial Unicode MS"/>
      <family val="2"/>
      <charset val="204"/>
    </font>
    <font>
      <sz val="12"/>
      <color theme="1"/>
      <name val="Arial Unicode MS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Arial Unicode MS"/>
      <family val="2"/>
      <charset val="204"/>
    </font>
    <font>
      <b/>
      <sz val="12"/>
      <color indexed="8"/>
      <name val="Arial Unicode MS"/>
      <family val="2"/>
      <charset val="204"/>
    </font>
    <font>
      <b/>
      <sz val="10"/>
      <color indexed="8"/>
      <name val="Arial Unicode MS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8" fillId="0" borderId="0" xfId="0" applyFont="1"/>
    <xf numFmtId="0" fontId="7" fillId="0" borderId="1" xfId="0" applyFont="1" applyBorder="1" applyAlignment="1">
      <alignment horizontal="left" wrapText="1"/>
    </xf>
    <xf numFmtId="0" fontId="8" fillId="4" borderId="0" xfId="0" applyFont="1" applyFill="1"/>
    <xf numFmtId="0" fontId="6" fillId="3" borderId="1" xfId="0" applyFont="1" applyFill="1" applyBorder="1" applyAlignment="1">
      <alignment horizontal="left" wrapText="1"/>
    </xf>
    <xf numFmtId="0" fontId="0" fillId="4" borderId="0" xfId="0" applyFill="1"/>
    <xf numFmtId="0" fontId="6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9" fillId="0" borderId="0" xfId="0" applyFont="1"/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6" fillId="5" borderId="4" xfId="0" applyFont="1" applyFill="1" applyBorder="1" applyAlignment="1">
      <alignment horizontal="left" wrapText="1"/>
    </xf>
    <xf numFmtId="0" fontId="6" fillId="5" borderId="5" xfId="0" applyFont="1" applyFill="1" applyBorder="1" applyAlignment="1">
      <alignment horizontal="left" wrapText="1"/>
    </xf>
    <xf numFmtId="0" fontId="6" fillId="5" borderId="5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left" wrapText="1"/>
    </xf>
    <xf numFmtId="0" fontId="6" fillId="6" borderId="1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2" fontId="8" fillId="0" borderId="0" xfId="0" applyNumberFormat="1" applyFont="1"/>
    <xf numFmtId="2" fontId="0" fillId="0" borderId="0" xfId="0" applyNumberFormat="1"/>
    <xf numFmtId="2" fontId="6" fillId="5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2" fontId="11" fillId="0" borderId="1" xfId="0" applyNumberFormat="1" applyFont="1" applyBorder="1" applyAlignment="1">
      <alignment horizontal="center" wrapText="1"/>
    </xf>
    <xf numFmtId="2" fontId="6" fillId="6" borderId="1" xfId="0" applyNumberFormat="1" applyFont="1" applyFill="1" applyBorder="1" applyAlignment="1">
      <alignment horizontal="center" wrapText="1"/>
    </xf>
    <xf numFmtId="2" fontId="4" fillId="5" borderId="1" xfId="0" applyNumberFormat="1" applyFont="1" applyFill="1" applyBorder="1" applyAlignment="1">
      <alignment horizontal="center" wrapText="1"/>
    </xf>
    <xf numFmtId="2" fontId="12" fillId="0" borderId="1" xfId="0" applyNumberFormat="1" applyFont="1" applyBorder="1" applyAlignment="1">
      <alignment horizontal="center" wrapText="1"/>
    </xf>
    <xf numFmtId="164" fontId="8" fillId="0" borderId="0" xfId="0" applyNumberFormat="1" applyFont="1"/>
    <xf numFmtId="2" fontId="6" fillId="5" borderId="5" xfId="0" applyNumberFormat="1" applyFont="1" applyFill="1" applyBorder="1" applyAlignment="1">
      <alignment horizontal="center" wrapText="1"/>
    </xf>
    <xf numFmtId="10" fontId="8" fillId="0" borderId="0" xfId="0" applyNumberFormat="1" applyFont="1"/>
    <xf numFmtId="10" fontId="0" fillId="0" borderId="0" xfId="0" applyNumberFormat="1"/>
    <xf numFmtId="0" fontId="8" fillId="7" borderId="0" xfId="0" applyFont="1" applyFill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9" fontId="7" fillId="2" borderId="1" xfId="0" applyNumberFormat="1" applyFont="1" applyFill="1" applyBorder="1" applyAlignment="1">
      <alignment wrapText="1"/>
    </xf>
    <xf numFmtId="49" fontId="6" fillId="3" borderId="1" xfId="0" applyNumberFormat="1" applyFont="1" applyFill="1" applyBorder="1" applyAlignment="1">
      <alignment horizontal="left" wrapText="1"/>
    </xf>
    <xf numFmtId="49" fontId="6" fillId="0" borderId="1" xfId="0" applyNumberFormat="1" applyFont="1" applyBorder="1" applyAlignment="1">
      <alignment horizontal="left" wrapText="1"/>
    </xf>
    <xf numFmtId="49" fontId="6" fillId="0" borderId="2" xfId="0" applyNumberFormat="1" applyFont="1" applyBorder="1" applyAlignment="1">
      <alignment horizontal="left" wrapText="1"/>
    </xf>
    <xf numFmtId="49" fontId="6" fillId="5" borderId="5" xfId="0" applyNumberFormat="1" applyFont="1" applyFill="1" applyBorder="1" applyAlignment="1">
      <alignment horizontal="left" wrapText="1"/>
    </xf>
    <xf numFmtId="49" fontId="7" fillId="0" borderId="3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6" fillId="6" borderId="1" xfId="0" applyNumberFormat="1" applyFont="1" applyFill="1" applyBorder="1" applyAlignment="1">
      <alignment horizontal="left" wrapText="1"/>
    </xf>
    <xf numFmtId="49" fontId="10" fillId="2" borderId="1" xfId="0" applyNumberFormat="1" applyFont="1" applyFill="1" applyBorder="1" applyAlignment="1">
      <alignment wrapText="1"/>
    </xf>
    <xf numFmtId="49" fontId="4" fillId="3" borderId="1" xfId="0" applyNumberFormat="1" applyFont="1" applyFill="1" applyBorder="1" applyAlignment="1">
      <alignment horizontal="left" wrapText="1"/>
    </xf>
    <xf numFmtId="49" fontId="14" fillId="0" borderId="0" xfId="0" applyNumberFormat="1" applyFont="1" applyAlignment="1">
      <alignment horizontal="center"/>
    </xf>
    <xf numFmtId="49" fontId="15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49" fontId="11" fillId="2" borderId="1" xfId="0" applyNumberFormat="1" applyFont="1" applyFill="1" applyBorder="1" applyAlignment="1">
      <alignment horizontal="center" wrapText="1"/>
    </xf>
    <xf numFmtId="49" fontId="7" fillId="0" borderId="6" xfId="0" applyNumberFormat="1" applyFont="1" applyBorder="1" applyAlignment="1">
      <alignment horizontal="left" wrapText="1"/>
    </xf>
    <xf numFmtId="0" fontId="11" fillId="0" borderId="7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6" fillId="5" borderId="2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1" fontId="11" fillId="0" borderId="1" xfId="0" applyNumberFormat="1" applyFont="1" applyBorder="1" applyAlignment="1">
      <alignment horizontal="center" wrapText="1"/>
    </xf>
    <xf numFmtId="1" fontId="11" fillId="4" borderId="1" xfId="0" applyNumberFormat="1" applyFont="1" applyFill="1" applyBorder="1" applyAlignment="1">
      <alignment horizontal="center" wrapText="1"/>
    </xf>
    <xf numFmtId="1" fontId="12" fillId="0" borderId="1" xfId="0" applyNumberFormat="1" applyFont="1" applyBorder="1" applyAlignment="1">
      <alignment horizontal="center" wrapText="1"/>
    </xf>
    <xf numFmtId="0" fontId="6" fillId="4" borderId="8" xfId="0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1" fontId="6" fillId="5" borderId="2" xfId="0" applyNumberFormat="1" applyFont="1" applyFill="1" applyBorder="1" applyAlignment="1">
      <alignment horizontal="center" wrapText="1"/>
    </xf>
    <xf numFmtId="1" fontId="4" fillId="5" borderId="2" xfId="0" applyNumberFormat="1" applyFont="1" applyFill="1" applyBorder="1" applyAlignment="1">
      <alignment horizontal="center" wrapText="1"/>
    </xf>
    <xf numFmtId="164" fontId="6" fillId="5" borderId="1" xfId="0" applyNumberFormat="1" applyFont="1" applyFill="1" applyBorder="1" applyAlignment="1">
      <alignment horizontal="center" wrapText="1"/>
    </xf>
    <xf numFmtId="164" fontId="11" fillId="5" borderId="1" xfId="0" applyNumberFormat="1" applyFont="1" applyFill="1" applyBorder="1" applyAlignment="1">
      <alignment horizontal="center" wrapText="1"/>
    </xf>
    <xf numFmtId="164" fontId="12" fillId="5" borderId="1" xfId="0" applyNumberFormat="1" applyFont="1" applyFill="1" applyBorder="1" applyAlignment="1">
      <alignment horizontal="center" wrapText="1"/>
    </xf>
    <xf numFmtId="164" fontId="4" fillId="5" borderId="1" xfId="0" applyNumberFormat="1" applyFont="1" applyFill="1" applyBorder="1" applyAlignment="1">
      <alignment horizontal="center" wrapText="1"/>
    </xf>
    <xf numFmtId="1" fontId="8" fillId="0" borderId="0" xfId="0" applyNumberFormat="1" applyFont="1"/>
    <xf numFmtId="1" fontId="0" fillId="0" borderId="0" xfId="0" applyNumberFormat="1"/>
    <xf numFmtId="0" fontId="11" fillId="0" borderId="6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164" fontId="0" fillId="0" borderId="0" xfId="0" applyNumberFormat="1"/>
    <xf numFmtId="0" fontId="1" fillId="0" borderId="0" xfId="0" applyFont="1" applyAlignment="1">
      <alignment horizontal="right" wrapText="1"/>
    </xf>
    <xf numFmtId="0" fontId="17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U103"/>
  <sheetViews>
    <sheetView topLeftCell="C2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</cols>
  <sheetData>
    <row r="1" spans="1:16">
      <c r="I1" t="s">
        <v>175</v>
      </c>
    </row>
    <row r="2" spans="1:16" ht="11.25" customHeight="1"/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9"/>
      <c r="K8" s="59"/>
      <c r="L8" s="59"/>
      <c r="M8" s="76" t="s">
        <v>174</v>
      </c>
      <c r="N8" s="59"/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6.7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25" t="s">
        <v>26</v>
      </c>
      <c r="B12" s="25">
        <v>10</v>
      </c>
      <c r="C12" s="65" t="s">
        <v>96</v>
      </c>
      <c r="D12" s="41"/>
      <c r="E12" s="41"/>
      <c r="F12" s="41" t="s">
        <v>12</v>
      </c>
      <c r="G12" s="41" t="s">
        <v>12</v>
      </c>
      <c r="H12" s="41"/>
      <c r="I12" s="41"/>
    </row>
    <row r="13" spans="1:16" s="10" customFormat="1" ht="51.75" hidden="1" customHeight="1" thickBot="1">
      <c r="A13" s="22" t="s">
        <v>27</v>
      </c>
      <c r="B13" s="23">
        <v>101</v>
      </c>
      <c r="C13" s="66" t="s">
        <v>97</v>
      </c>
      <c r="D13" s="24"/>
      <c r="E13" s="54"/>
      <c r="F13" s="24"/>
      <c r="G13" s="24"/>
      <c r="H13" s="24"/>
      <c r="I13" s="24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21" t="s">
        <v>13</v>
      </c>
      <c r="B14" s="21">
        <v>102</v>
      </c>
      <c r="C14" s="67" t="s">
        <v>98</v>
      </c>
      <c r="D14" s="45"/>
      <c r="E14" s="45"/>
      <c r="F14" s="45"/>
      <c r="G14" s="45"/>
      <c r="H14" s="45"/>
      <c r="I14" s="45"/>
      <c r="J14" s="10" t="s">
        <v>88</v>
      </c>
      <c r="K14" s="37">
        <f>D15+D19+D22</f>
        <v>0</v>
      </c>
      <c r="L14" s="37">
        <f t="shared" ref="L14:P14" si="0">E15+E19+E22</f>
        <v>0</v>
      </c>
      <c r="M14" s="37">
        <f t="shared" si="0"/>
        <v>0</v>
      </c>
      <c r="N14" s="37">
        <f t="shared" si="0"/>
        <v>0</v>
      </c>
      <c r="O14" s="37">
        <f t="shared" si="0"/>
        <v>0</v>
      </c>
      <c r="P14" s="37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7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7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37">
        <f>K14+K15+K16</f>
        <v>0</v>
      </c>
      <c r="L17" s="37">
        <f t="shared" ref="L17:P17" si="3">L14+L15+L16</f>
        <v>0</v>
      </c>
      <c r="M17" s="37">
        <f t="shared" si="3"/>
        <v>0</v>
      </c>
      <c r="N17" s="37">
        <f t="shared" si="3"/>
        <v>0</v>
      </c>
      <c r="O17" s="37">
        <f t="shared" si="3"/>
        <v>0</v>
      </c>
      <c r="P17" s="37">
        <f t="shared" si="3"/>
        <v>0</v>
      </c>
    </row>
    <row r="18" spans="1:17" s="10" customFormat="1" ht="18.600000000000001" hidden="1" customHeight="1" thickBot="1">
      <c r="A18" s="11" t="s">
        <v>17</v>
      </c>
      <c r="B18" s="11">
        <v>103</v>
      </c>
      <c r="C18" s="67" t="s">
        <v>102</v>
      </c>
      <c r="D18" s="44"/>
      <c r="E18" s="44"/>
      <c r="F18" s="44"/>
      <c r="G18" s="44"/>
      <c r="H18" s="44"/>
      <c r="I18" s="44"/>
      <c r="J18" s="10" t="s">
        <v>91</v>
      </c>
      <c r="K18" s="37">
        <f>D13-K17</f>
        <v>0</v>
      </c>
      <c r="L18" s="37">
        <f t="shared" ref="L18:P18" si="4">E13-L17</f>
        <v>0</v>
      </c>
      <c r="M18" s="37">
        <f t="shared" si="4"/>
        <v>0</v>
      </c>
      <c r="N18" s="37">
        <f t="shared" si="4"/>
        <v>0</v>
      </c>
      <c r="O18" s="37">
        <f t="shared" si="4"/>
        <v>0</v>
      </c>
      <c r="P18" s="37">
        <f t="shared" si="4"/>
        <v>0</v>
      </c>
    </row>
    <row r="19" spans="1:17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  <c r="J19" s="10" t="s">
        <v>92</v>
      </c>
      <c r="K19" s="37">
        <v>67.490000000000009</v>
      </c>
      <c r="L19" s="37">
        <v>69.800000000000011</v>
      </c>
      <c r="M19" s="37">
        <v>67.800000000000011</v>
      </c>
      <c r="N19" s="37">
        <v>66.5</v>
      </c>
      <c r="O19" s="37">
        <v>67.490000000000009</v>
      </c>
      <c r="P19" s="37">
        <v>69.39</v>
      </c>
    </row>
    <row r="20" spans="1:17" s="10" customFormat="1" ht="18.600000000000001" hidden="1" customHeight="1" thickBot="1">
      <c r="A20" s="11" t="s">
        <v>18</v>
      </c>
      <c r="B20" s="11">
        <v>145</v>
      </c>
      <c r="C20" s="67" t="s">
        <v>104</v>
      </c>
      <c r="D20" s="44"/>
      <c r="E20" s="44"/>
      <c r="F20" s="44"/>
      <c r="G20" s="44"/>
      <c r="H20" s="44"/>
      <c r="I20" s="44"/>
      <c r="J20" s="10" t="s">
        <v>91</v>
      </c>
      <c r="K20" s="37">
        <f>K17-K19</f>
        <v>-67.490000000000009</v>
      </c>
      <c r="L20" s="37">
        <f t="shared" ref="L20:P20" si="5">L17-L19</f>
        <v>-69.800000000000011</v>
      </c>
      <c r="M20" s="37">
        <f t="shared" si="5"/>
        <v>-67.800000000000011</v>
      </c>
      <c r="N20" s="37">
        <f t="shared" si="5"/>
        <v>-66.5</v>
      </c>
      <c r="O20" s="37">
        <f t="shared" si="5"/>
        <v>-67.490000000000009</v>
      </c>
      <c r="P20" s="37">
        <f t="shared" si="5"/>
        <v>-69.39</v>
      </c>
    </row>
    <row r="21" spans="1:17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7" s="10" customFormat="1" ht="18.600000000000001" hidden="1" customHeight="1" thickBot="1">
      <c r="A22" s="11" t="s">
        <v>14</v>
      </c>
      <c r="B22" s="11">
        <v>126</v>
      </c>
      <c r="C22" s="67" t="s">
        <v>106</v>
      </c>
      <c r="D22" s="44"/>
      <c r="E22" s="44"/>
      <c r="F22" s="44"/>
      <c r="G22" s="44"/>
      <c r="H22" s="44"/>
      <c r="I22" s="44"/>
    </row>
    <row r="23" spans="1:17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7" s="10" customFormat="1" ht="18.600000000000001" hidden="1" customHeight="1" thickBot="1">
      <c r="A24" s="20" t="s">
        <v>20</v>
      </c>
      <c r="B24" s="20">
        <v>177</v>
      </c>
      <c r="C24" s="67" t="s">
        <v>108</v>
      </c>
      <c r="D24" s="47"/>
      <c r="E24" s="47"/>
      <c r="F24" s="47"/>
      <c r="G24" s="47"/>
      <c r="H24" s="47"/>
      <c r="I24" s="47"/>
    </row>
    <row r="25" spans="1:17" s="10" customFormat="1" ht="35.25" hidden="1" customHeight="1" thickBot="1">
      <c r="A25" s="22" t="s">
        <v>21</v>
      </c>
      <c r="B25" s="23">
        <v>100</v>
      </c>
      <c r="C25" s="66" t="s">
        <v>109</v>
      </c>
      <c r="D25" s="24">
        <f>D26+D30+D33</f>
        <v>0</v>
      </c>
      <c r="E25" s="24">
        <f>E26+E30+E33</f>
        <v>0</v>
      </c>
      <c r="F25" s="24" t="s">
        <v>12</v>
      </c>
      <c r="G25" s="24">
        <f t="shared" ref="G25:I25" si="6">G26+G30+G33</f>
        <v>0</v>
      </c>
      <c r="H25" s="24">
        <f t="shared" si="6"/>
        <v>0</v>
      </c>
      <c r="I25" s="24">
        <f t="shared" si="6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  <c r="Q25" s="19"/>
    </row>
    <row r="26" spans="1:17" s="10" customFormat="1" ht="18.600000000000001" hidden="1" customHeight="1" thickBot="1">
      <c r="A26" s="21" t="s">
        <v>13</v>
      </c>
      <c r="B26" s="21">
        <v>105</v>
      </c>
      <c r="C26" s="67" t="s">
        <v>110</v>
      </c>
      <c r="D26" s="45"/>
      <c r="E26" s="45"/>
      <c r="F26" s="45" t="s">
        <v>12</v>
      </c>
      <c r="G26" s="45"/>
      <c r="H26" s="45"/>
      <c r="I26" s="45"/>
      <c r="J26" s="10" t="s">
        <v>88</v>
      </c>
      <c r="K26" s="37">
        <f>D27+D31+D34</f>
        <v>0</v>
      </c>
      <c r="L26" s="37">
        <f t="shared" ref="L26:P26" si="7">E27+E31+E34</f>
        <v>0</v>
      </c>
      <c r="M26" s="37" t="e">
        <f t="shared" si="7"/>
        <v>#VALUE!</v>
      </c>
      <c r="N26" s="37">
        <f t="shared" si="7"/>
        <v>0</v>
      </c>
      <c r="O26" s="37">
        <f t="shared" si="7"/>
        <v>0</v>
      </c>
      <c r="P26" s="37">
        <f t="shared" si="7"/>
        <v>0</v>
      </c>
    </row>
    <row r="27" spans="1:17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8">E28+E32+E35</f>
        <v>0</v>
      </c>
      <c r="M27" s="10" t="e">
        <f t="shared" si="8"/>
        <v>#VALUE!</v>
      </c>
      <c r="N27" s="10">
        <f t="shared" si="8"/>
        <v>0</v>
      </c>
      <c r="O27" s="10">
        <f t="shared" si="8"/>
        <v>0</v>
      </c>
      <c r="P27" s="10">
        <f t="shared" si="8"/>
        <v>0</v>
      </c>
    </row>
    <row r="28" spans="1:17" s="10" customFormat="1" ht="18.600000000000001" hidden="1" customHeight="1" thickBot="1">
      <c r="A28" s="11" t="s">
        <v>15</v>
      </c>
      <c r="B28" s="11">
        <v>140</v>
      </c>
      <c r="C28" s="67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9">E36</f>
        <v>0</v>
      </c>
      <c r="M28" s="10" t="str">
        <f t="shared" si="9"/>
        <v>x</v>
      </c>
      <c r="N28" s="10">
        <f t="shared" si="9"/>
        <v>0</v>
      </c>
      <c r="O28" s="10">
        <f t="shared" si="9"/>
        <v>0</v>
      </c>
      <c r="P28" s="10">
        <f t="shared" si="9"/>
        <v>0</v>
      </c>
    </row>
    <row r="29" spans="1:17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37">
        <f>K26+K27+K28</f>
        <v>0</v>
      </c>
      <c r="L29" s="37">
        <f t="shared" ref="L29:P29" si="10">L26+L27+L28</f>
        <v>0</v>
      </c>
      <c r="M29" s="37" t="e">
        <f t="shared" si="10"/>
        <v>#VALUE!</v>
      </c>
      <c r="N29" s="37">
        <f t="shared" si="10"/>
        <v>0</v>
      </c>
      <c r="O29" s="37">
        <f t="shared" si="10"/>
        <v>0</v>
      </c>
      <c r="P29" s="37">
        <f t="shared" si="10"/>
        <v>0</v>
      </c>
    </row>
    <row r="30" spans="1:17" s="10" customFormat="1" ht="18.600000000000001" hidden="1" customHeight="1" thickBot="1">
      <c r="A30" s="11" t="s">
        <v>17</v>
      </c>
      <c r="B30" s="11">
        <v>106</v>
      </c>
      <c r="C30" s="67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37">
        <f>K29-D25</f>
        <v>0</v>
      </c>
      <c r="L30" s="37">
        <f t="shared" ref="L30:P30" si="11">L29-E25</f>
        <v>0</v>
      </c>
      <c r="M30" s="37" t="e">
        <f t="shared" si="11"/>
        <v>#VALUE!</v>
      </c>
      <c r="N30" s="37">
        <f t="shared" si="11"/>
        <v>0</v>
      </c>
      <c r="O30" s="37">
        <f t="shared" si="11"/>
        <v>0</v>
      </c>
      <c r="P30" s="37">
        <f t="shared" si="11"/>
        <v>0</v>
      </c>
    </row>
    <row r="31" spans="1:17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  <c r="J31" s="10" t="s">
        <v>92</v>
      </c>
      <c r="K31" s="37">
        <v>61</v>
      </c>
      <c r="L31" s="37">
        <v>64</v>
      </c>
      <c r="M31" s="37" t="s">
        <v>93</v>
      </c>
      <c r="N31" s="37">
        <v>59</v>
      </c>
      <c r="O31" s="37">
        <v>61</v>
      </c>
      <c r="P31" s="37">
        <v>65</v>
      </c>
    </row>
    <row r="32" spans="1:17" s="10" customFormat="1" ht="18.600000000000001" hidden="1" customHeight="1" thickBot="1">
      <c r="A32" s="11" t="s">
        <v>18</v>
      </c>
      <c r="B32" s="11">
        <v>140</v>
      </c>
      <c r="C32" s="67" t="s">
        <v>116</v>
      </c>
      <c r="D32" s="44"/>
      <c r="E32" s="44"/>
      <c r="F32" s="44" t="s">
        <v>12</v>
      </c>
      <c r="G32" s="44"/>
      <c r="H32" s="44"/>
      <c r="I32" s="44"/>
      <c r="J32" s="10" t="s">
        <v>91</v>
      </c>
      <c r="K32" s="37">
        <f>K29-K31</f>
        <v>-61</v>
      </c>
      <c r="L32" s="37">
        <f t="shared" ref="L32:P32" si="12">L29-L31</f>
        <v>-64</v>
      </c>
      <c r="M32" s="37" t="e">
        <f t="shared" si="12"/>
        <v>#VALUE!</v>
      </c>
      <c r="N32" s="37">
        <f t="shared" si="12"/>
        <v>-59</v>
      </c>
      <c r="O32" s="37">
        <f t="shared" si="12"/>
        <v>-61</v>
      </c>
      <c r="P32" s="37">
        <f t="shared" si="12"/>
        <v>-65</v>
      </c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7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7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84">
        <f>D38+D39</f>
        <v>41</v>
      </c>
      <c r="E37" s="84">
        <f>E38+E39</f>
        <v>43</v>
      </c>
      <c r="F37" s="29" t="s">
        <v>12</v>
      </c>
      <c r="G37" s="29" t="s">
        <v>12</v>
      </c>
      <c r="H37" s="84">
        <f t="shared" ref="H37" si="13">H38+H39</f>
        <v>41</v>
      </c>
      <c r="I37" s="84">
        <f>I38+I39</f>
        <v>43</v>
      </c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89">
        <f>'sc.prim.16'!D38+scprim.21!D38</f>
        <v>5</v>
      </c>
      <c r="E38" s="89">
        <f>'sc.prim.16'!E38+scprim.21!E38</f>
        <v>5</v>
      </c>
      <c r="F38" s="44" t="s">
        <v>12</v>
      </c>
      <c r="G38" s="44" t="s">
        <v>12</v>
      </c>
      <c r="H38" s="99">
        <f>D38</f>
        <v>5</v>
      </c>
      <c r="I38" s="89">
        <f>'sc.prim.16'!I38+scprim.21!I38</f>
        <v>5</v>
      </c>
      <c r="J38" s="100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89">
        <f>'sc.prim.16'!D39+scprim.21!D39</f>
        <v>36</v>
      </c>
      <c r="E39" s="90">
        <f>'sc.prim.16'!E39+scprim.21!E39</f>
        <v>38</v>
      </c>
      <c r="F39" s="44" t="s">
        <v>12</v>
      </c>
      <c r="G39" s="44" t="s">
        <v>12</v>
      </c>
      <c r="H39" s="99">
        <f>D39</f>
        <v>36</v>
      </c>
      <c r="I39" s="90">
        <f>'sc.prim.16'!I39+scprim.21!I39</f>
        <v>38</v>
      </c>
      <c r="J39" s="100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85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85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O43" s="37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9"/>
      <c r="H44" s="44" t="s">
        <v>12</v>
      </c>
      <c r="I44" s="44" t="s">
        <v>12</v>
      </c>
      <c r="L44" s="55"/>
      <c r="N44" s="37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>
        <f>'sc.prim.16'!D56+scprim.21!D56</f>
        <v>0</v>
      </c>
      <c r="E56" s="29">
        <f>'sc.prim.16'!E56+scprim.21!E56</f>
        <v>0</v>
      </c>
      <c r="F56" s="29">
        <f>'sc.prim.16'!F56+scprim.21!F56</f>
        <v>0</v>
      </c>
      <c r="G56" s="29">
        <f>'sc.prim.16'!G56+scprim.21!G56</f>
        <v>0</v>
      </c>
      <c r="H56" s="29">
        <f>'sc.prim.16'!H56+scprim.21!H56</f>
        <v>0</v>
      </c>
      <c r="I56" s="29">
        <f>'sc.prim.16'!I56+scprim.21!I56</f>
        <v>0</v>
      </c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>
        <f>'sc.prim.16'!D57+scprim.21!D57</f>
        <v>0</v>
      </c>
      <c r="E57" s="17">
        <f>'sc.prim.16'!E57+scprim.21!E57</f>
        <v>0</v>
      </c>
      <c r="F57" s="17">
        <f>'sc.prim.16'!F57+scprim.21!F57</f>
        <v>0</v>
      </c>
      <c r="G57" s="17">
        <f>'sc.prim.16'!G57+scprim.21!G57</f>
        <v>0</v>
      </c>
      <c r="H57" s="17">
        <f>'sc.prim.16'!H57+scprim.21!H57</f>
        <v>0</v>
      </c>
      <c r="I57" s="17">
        <f>'sc.prim.16'!I57+scprim.21!I57</f>
        <v>0</v>
      </c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>
        <f>'sc.prim.16'!D58+scprim.21!D58</f>
        <v>0</v>
      </c>
      <c r="E58" s="17">
        <f>'sc.prim.16'!E58+scprim.21!E58</f>
        <v>0</v>
      </c>
      <c r="F58" s="17">
        <f>'sc.prim.16'!F58+scprim.21!F58</f>
        <v>0</v>
      </c>
      <c r="G58" s="17">
        <f>'sc.prim.16'!G58+scprim.21!G58</f>
        <v>0</v>
      </c>
      <c r="H58" s="17">
        <f>'sc.prim.16'!H58+scprim.21!H58</f>
        <v>0</v>
      </c>
      <c r="I58" s="17">
        <f>'sc.prim.16'!I58+scprim.21!I58</f>
        <v>0</v>
      </c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>
        <f>'sc.prim.16'!D59+scprim.21!D59</f>
        <v>0</v>
      </c>
      <c r="E59" s="17">
        <f>'sc.prim.16'!E59+scprim.21!E59</f>
        <v>0</v>
      </c>
      <c r="F59" s="17">
        <f>'sc.prim.16'!F59+scprim.21!F59</f>
        <v>0</v>
      </c>
      <c r="G59" s="17">
        <f>'sc.prim.16'!G59+scprim.21!G59</f>
        <v>0</v>
      </c>
      <c r="H59" s="17">
        <f>'sc.prim.16'!H59+scprim.21!H59</f>
        <v>0</v>
      </c>
      <c r="I59" s="17">
        <f>'sc.prim.16'!I59+scprim.21!I59</f>
        <v>0</v>
      </c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7" t="s">
        <v>38</v>
      </c>
      <c r="B64" s="7">
        <v>1130</v>
      </c>
      <c r="C64" s="64" t="s">
        <v>148</v>
      </c>
      <c r="D64" s="17">
        <f>'sc.prim.16'!D64+scprim.21!D64</f>
        <v>0</v>
      </c>
      <c r="E64" s="17">
        <f>'sc.prim.16'!E64+scprim.21!E64</f>
        <v>0</v>
      </c>
      <c r="F64" s="17">
        <f>'sc.prim.16'!F64+scprim.21!F64</f>
        <v>0</v>
      </c>
      <c r="G64" s="17">
        <f>'sc.prim.16'!G64+scprim.21!G64</f>
        <v>0</v>
      </c>
      <c r="H64" s="17">
        <f>'sc.prim.16'!H64+scprim.21!H64</f>
        <v>0</v>
      </c>
      <c r="I64" s="17">
        <f>'sc.prim.16'!I64+scprim.21!I64</f>
        <v>0</v>
      </c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>
        <f>'sc.prim.16'!D65+scprim.21!D65</f>
        <v>0</v>
      </c>
      <c r="E65" s="17">
        <f>'sc.prim.16'!E65+scprim.21!E65</f>
        <v>0</v>
      </c>
      <c r="F65" s="17">
        <f>'sc.prim.16'!F65+scprim.21!F65</f>
        <v>0</v>
      </c>
      <c r="G65" s="17">
        <f>'sc.prim.16'!G65+scprim.21!G65</f>
        <v>0</v>
      </c>
      <c r="H65" s="17">
        <f>'sc.prim.16'!H65+scprim.21!H65</f>
        <v>0</v>
      </c>
      <c r="I65" s="17">
        <f>'sc.prim.16'!I65+scprim.21!I65</f>
        <v>0</v>
      </c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>
        <f>'sc.prim.16'!D66+scprim.21!D66</f>
        <v>0</v>
      </c>
      <c r="E66" s="17">
        <f>'sc.prim.16'!E66+scprim.21!E66</f>
        <v>0</v>
      </c>
      <c r="F66" s="17">
        <f>'sc.prim.16'!F66+scprim.21!F66</f>
        <v>0</v>
      </c>
      <c r="G66" s="17">
        <f>'sc.prim.16'!G66+scprim.21!G66</f>
        <v>0</v>
      </c>
      <c r="H66" s="17">
        <f>'sc.prim.16'!H66+scprim.21!H66</f>
        <v>0</v>
      </c>
      <c r="I66" s="17">
        <f>'sc.prim.16'!I66+scprim.21!I66</f>
        <v>0</v>
      </c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>
        <f>'sc.prim.16'!D67+scprim.21!D67</f>
        <v>0</v>
      </c>
      <c r="E67" s="17">
        <f>'sc.prim.16'!E67+scprim.21!E67</f>
        <v>0</v>
      </c>
      <c r="F67" s="17">
        <f>'sc.prim.16'!F67+scprim.21!F67</f>
        <v>0</v>
      </c>
      <c r="G67" s="17">
        <f>'sc.prim.16'!G67+scprim.21!G67</f>
        <v>0</v>
      </c>
      <c r="H67" s="17">
        <f>'sc.prim.16'!H67+scprim.21!H67</f>
        <v>0</v>
      </c>
      <c r="I67" s="17">
        <f>'sc.prim.16'!I67+scprim.21!I67</f>
        <v>0</v>
      </c>
    </row>
    <row r="68" spans="1:9" s="10" customFormat="1" ht="36" hidden="1" customHeight="1" thickBot="1">
      <c r="A68" s="7" t="s">
        <v>39</v>
      </c>
      <c r="B68" s="7">
        <v>1040</v>
      </c>
      <c r="C68" s="64" t="s">
        <v>152</v>
      </c>
      <c r="D68" s="17">
        <f>'sc.prim.16'!D68+scprim.21!D68</f>
        <v>0</v>
      </c>
      <c r="E68" s="17">
        <f>'sc.prim.16'!E68+scprim.21!E68</f>
        <v>0</v>
      </c>
      <c r="F68" s="17">
        <f>'sc.prim.16'!F68+scprim.21!F68</f>
        <v>0</v>
      </c>
      <c r="G68" s="17">
        <f>'sc.prim.16'!G68+scprim.21!G68</f>
        <v>0</v>
      </c>
      <c r="H68" s="17">
        <f>'sc.prim.16'!H68+scprim.21!H68</f>
        <v>0</v>
      </c>
      <c r="I68" s="17">
        <f>'sc.prim.16'!I68+scprim.21!I68</f>
        <v>0</v>
      </c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>
        <f>'sc.prim.16'!D69+scprim.21!D69</f>
        <v>0</v>
      </c>
      <c r="E69" s="17">
        <f>'sc.prim.16'!E69+scprim.21!E69</f>
        <v>0</v>
      </c>
      <c r="F69" s="17">
        <f>'sc.prim.16'!F69+scprim.21!F69</f>
        <v>0</v>
      </c>
      <c r="G69" s="17">
        <f>'sc.prim.16'!G69+scprim.21!G69</f>
        <v>0</v>
      </c>
      <c r="H69" s="17">
        <f>'sc.prim.16'!H69+scprim.21!H69</f>
        <v>0</v>
      </c>
      <c r="I69" s="17">
        <f>'sc.prim.16'!I69+scprim.21!I69</f>
        <v>0</v>
      </c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>
        <f>'sc.prim.16'!D70+scprim.21!D70</f>
        <v>0</v>
      </c>
      <c r="E70" s="17">
        <f>'sc.prim.16'!E70+scprim.21!E70</f>
        <v>0</v>
      </c>
      <c r="F70" s="17">
        <f>'sc.prim.16'!F70+scprim.21!F70</f>
        <v>0</v>
      </c>
      <c r="G70" s="17">
        <f>'sc.prim.16'!G70+scprim.21!G70</f>
        <v>0</v>
      </c>
      <c r="H70" s="17">
        <f>'sc.prim.16'!H70+scprim.21!H70</f>
        <v>0</v>
      </c>
      <c r="I70" s="17">
        <f>'sc.prim.16'!I70+scprim.21!I70</f>
        <v>0</v>
      </c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>
        <f>'sc.prim.16'!D71+scprim.21!D71</f>
        <v>0</v>
      </c>
      <c r="E71" s="17">
        <f>'sc.prim.16'!E71+scprim.21!E71</f>
        <v>0</v>
      </c>
      <c r="F71" s="17">
        <f>'sc.prim.16'!F71+scprim.21!F71</f>
        <v>0</v>
      </c>
      <c r="G71" s="17">
        <f>'sc.prim.16'!G71+scprim.21!G71</f>
        <v>0</v>
      </c>
      <c r="H71" s="17">
        <f>'sc.prim.16'!H71+scprim.21!H71</f>
        <v>0</v>
      </c>
      <c r="I71" s="17">
        <f>'sc.prim.16'!I71+scprim.21!I71</f>
        <v>0</v>
      </c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>
        <f>'sc.prim.16'!D72+scprim.21!D72</f>
        <v>0</v>
      </c>
      <c r="E72" s="17">
        <f>'sc.prim.16'!E72+scprim.21!E72</f>
        <v>0</v>
      </c>
      <c r="F72" s="17">
        <f>'sc.prim.16'!F72+scprim.21!F72</f>
        <v>0</v>
      </c>
      <c r="G72" s="17">
        <f>'sc.prim.16'!G72+scprim.21!G72</f>
        <v>0</v>
      </c>
      <c r="H72" s="17">
        <f>'sc.prim.16'!H72+scprim.21!H72</f>
        <v>0</v>
      </c>
      <c r="I72" s="17">
        <f>'sc.prim.16'!I72+scprim.21!I72</f>
        <v>0</v>
      </c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>
        <f>'sc.prim.16'!D73+scprim.21!D73</f>
        <v>0</v>
      </c>
      <c r="E73" s="17">
        <f>'sc.prim.16'!E73+scprim.21!E73</f>
        <v>0</v>
      </c>
      <c r="F73" s="17">
        <f>'sc.prim.16'!F73+scprim.21!F73</f>
        <v>0</v>
      </c>
      <c r="G73" s="17">
        <f>'sc.prim.16'!G73+scprim.21!G73</f>
        <v>0</v>
      </c>
      <c r="H73" s="17">
        <f>'sc.prim.16'!H73+scprim.21!H73</f>
        <v>0</v>
      </c>
      <c r="I73" s="17">
        <f>'sc.prim.16'!I73+scprim.21!I73</f>
        <v>0</v>
      </c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>
        <f>'sc.prim.16'!D74+scprim.21!D74</f>
        <v>0</v>
      </c>
      <c r="E74" s="17">
        <f>'sc.prim.16'!E74+scprim.21!E74</f>
        <v>0</v>
      </c>
      <c r="F74" s="17">
        <f>'sc.prim.16'!F74+scprim.21!F74</f>
        <v>0</v>
      </c>
      <c r="G74" s="17">
        <f>'sc.prim.16'!G74+scprim.21!G74</f>
        <v>0</v>
      </c>
      <c r="H74" s="17">
        <f>'sc.prim.16'!H74+scprim.21!H74</f>
        <v>0</v>
      </c>
      <c r="I74" s="17">
        <f>'sc.prim.16'!I74+scprim.21!I74</f>
        <v>0</v>
      </c>
    </row>
    <row r="75" spans="1:9" s="10" customFormat="1" ht="36.75" hidden="1" customHeight="1" thickBot="1">
      <c r="A75" s="7" t="s">
        <v>46</v>
      </c>
      <c r="B75" s="7">
        <v>1050</v>
      </c>
      <c r="C75" s="64" t="s">
        <v>159</v>
      </c>
      <c r="D75" s="40" t="s">
        <v>12</v>
      </c>
      <c r="E75" s="40" t="s">
        <v>12</v>
      </c>
      <c r="F75" s="17">
        <f>'sc.prim.16'!F75+scprim.21!F75</f>
        <v>0</v>
      </c>
      <c r="G75" s="17">
        <f>'sc.prim.16'!G75+scprim.21!G75</f>
        <v>0</v>
      </c>
      <c r="H75" s="40" t="s">
        <v>12</v>
      </c>
      <c r="I75" s="40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>
        <f>'sc.prim.16'!F76+scprim.21!F76</f>
        <v>0</v>
      </c>
      <c r="G76" s="17">
        <f>'sc.prim.16'!G76+scprim.21!G76</f>
        <v>0</v>
      </c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>
        <f>'sc.prim.16'!F77+scprim.21!F77</f>
        <v>0</v>
      </c>
      <c r="G77" s="17">
        <f>'sc.prim.16'!G77+scprim.21!G77</f>
        <v>0</v>
      </c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>
        <f>'sc.prim.16'!F78+scprim.21!F78</f>
        <v>0</v>
      </c>
      <c r="G78" s="17">
        <f>'sc.prim.16'!G78+scprim.21!G78</f>
        <v>0</v>
      </c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>
        <f>'sc.prim.16'!F79+scprim.21!F79</f>
        <v>0</v>
      </c>
      <c r="G79" s="17">
        <f>'sc.prim.16'!G79+scprim.21!G79</f>
        <v>0</v>
      </c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>
        <f>'sc.prim.16'!F80+scprim.21!F80</f>
        <v>0</v>
      </c>
      <c r="G80" s="17">
        <f>'sc.prim.16'!G80+scprim.21!G80</f>
        <v>0</v>
      </c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>
        <f>'sc.prim.16'!F81+scprim.21!F81</f>
        <v>0</v>
      </c>
      <c r="G81" s="17">
        <f>'sc.prim.16'!G81+scprim.21!G81</f>
        <v>0</v>
      </c>
      <c r="H81" s="17" t="s">
        <v>12</v>
      </c>
      <c r="I81" s="17" t="s">
        <v>12</v>
      </c>
    </row>
    <row r="82" spans="1:9" s="10" customFormat="1" ht="34.5" hidden="1" customHeight="1" thickBot="1">
      <c r="A82" s="7" t="s">
        <v>53</v>
      </c>
      <c r="B82" s="7">
        <v>1060</v>
      </c>
      <c r="C82" s="64" t="s">
        <v>166</v>
      </c>
      <c r="D82" s="40" t="s">
        <v>12</v>
      </c>
      <c r="E82" s="40" t="s">
        <v>12</v>
      </c>
      <c r="F82" s="17">
        <f>'sc.prim.16'!F82+scprim.21!F82</f>
        <v>0</v>
      </c>
      <c r="G82" s="17">
        <f>'sc.prim.16'!G82+scprim.21!G82</f>
        <v>0</v>
      </c>
      <c r="H82" s="40" t="s">
        <v>12</v>
      </c>
      <c r="I82" s="40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>
        <f>'sc.prim.16'!F83+scprim.21!F83</f>
        <v>0</v>
      </c>
      <c r="G83" s="17">
        <f>'sc.prim.16'!G83+scprim.21!G83</f>
        <v>0</v>
      </c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>
        <f>'sc.prim.16'!F84+scprim.21!F84</f>
        <v>0</v>
      </c>
      <c r="G84" s="17">
        <f>'sc.prim.16'!G84+scprim.21!G84</f>
        <v>0</v>
      </c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>
        <f>'sc.prim.16'!F85+scprim.21!F85</f>
        <v>0</v>
      </c>
      <c r="G85" s="17">
        <f>'sc.prim.16'!G85+scprim.21!G85</f>
        <v>0</v>
      </c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>
        <f>'sc.prim.16'!F86+scprim.21!F86</f>
        <v>0</v>
      </c>
      <c r="G86" s="17">
        <f>'sc.prim.16'!G86+scprim.21!G86</f>
        <v>0</v>
      </c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>
        <f>'sc.prim.16'!F87+scprim.21!F87</f>
        <v>0</v>
      </c>
      <c r="G87" s="17">
        <f>'sc.prim.16'!G87+scprim.21!G87</f>
        <v>0</v>
      </c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>
        <f>'sc.prim.16'!F88+scprim.21!F88</f>
        <v>0</v>
      </c>
      <c r="G88" s="17">
        <f>'sc.prim.16'!G88+scprim.21!G88</f>
        <v>0</v>
      </c>
      <c r="H88" s="17" t="s">
        <v>12</v>
      </c>
      <c r="I88" s="17" t="s">
        <v>12</v>
      </c>
    </row>
    <row r="89" spans="1:9" s="10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3">
        <f>'sc.prim.16'!F89+scprim.21!F89</f>
        <v>172000</v>
      </c>
      <c r="G89" s="93">
        <f>'sc.prim.16'!G89+scprim.21!G89</f>
        <v>168000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43</v>
      </c>
      <c r="G91">
        <f>G89/4000</f>
        <v>42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U103"/>
  <sheetViews>
    <sheetView topLeftCell="B4" zoomScale="87" zoomScaleNormal="87" workbookViewId="0">
      <selection activeCell="G9" sqref="G9"/>
    </sheetView>
  </sheetViews>
  <sheetFormatPr defaultRowHeight="15"/>
  <cols>
    <col min="1" max="1" width="65" customWidth="1"/>
    <col min="2" max="2" width="13" customWidth="1"/>
    <col min="3" max="3" width="9.28515625" style="70" customWidth="1"/>
    <col min="4" max="4" width="11" customWidth="1"/>
    <col min="5" max="5" width="11.28515625" customWidth="1"/>
    <col min="6" max="6" width="14.85546875" customWidth="1"/>
    <col min="7" max="7" width="16.140625" customWidth="1"/>
    <col min="8" max="8" width="19.28515625" customWidth="1"/>
    <col min="9" max="9" width="14.4257812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19" max="19" width="10.85546875" bestFit="1" customWidth="1"/>
    <col min="21" max="21" width="10" bestFit="1" customWidth="1"/>
    <col min="22" max="22" width="10.42578125" customWidth="1"/>
  </cols>
  <sheetData>
    <row r="2" spans="1:16" ht="18.75" customHeight="1">
      <c r="H2" t="s">
        <v>179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ht="74.25" customHeight="1" thickBot="1">
      <c r="A8" s="32" t="s">
        <v>4</v>
      </c>
      <c r="B8" s="32" t="s">
        <v>5</v>
      </c>
      <c r="C8" s="73" t="s">
        <v>6</v>
      </c>
      <c r="D8" s="33" t="s">
        <v>7</v>
      </c>
      <c r="E8" s="32" t="s">
        <v>8</v>
      </c>
      <c r="F8" s="32" t="s">
        <v>9</v>
      </c>
      <c r="G8" s="8" t="s">
        <v>201</v>
      </c>
      <c r="H8" s="32" t="s">
        <v>10</v>
      </c>
      <c r="I8" s="32" t="s">
        <v>178</v>
      </c>
      <c r="J8" s="58">
        <v>14279</v>
      </c>
      <c r="K8" s="58" t="s">
        <v>61</v>
      </c>
      <c r="L8" s="58" t="s">
        <v>62</v>
      </c>
      <c r="M8" s="75" t="s">
        <v>174</v>
      </c>
      <c r="N8" s="58" t="s">
        <v>63</v>
      </c>
    </row>
    <row r="9" spans="1:16" ht="15.75" thickBot="1">
      <c r="A9" s="77">
        <v>1</v>
      </c>
      <c r="B9" s="77">
        <v>2</v>
      </c>
      <c r="C9" s="78">
        <v>3</v>
      </c>
      <c r="D9" s="77">
        <v>4</v>
      </c>
      <c r="E9" s="77">
        <v>5</v>
      </c>
      <c r="F9" s="77">
        <v>6</v>
      </c>
      <c r="G9" s="77">
        <v>7</v>
      </c>
      <c r="H9" s="77">
        <v>8</v>
      </c>
      <c r="I9" s="77">
        <v>9</v>
      </c>
    </row>
    <row r="10" spans="1:16" s="14" customFormat="1" ht="33" hidden="1" customHeight="1" thickBot="1">
      <c r="A10" s="4" t="s">
        <v>24</v>
      </c>
      <c r="B10" s="4"/>
      <c r="C10" s="74">
        <v>8</v>
      </c>
      <c r="D10" s="16"/>
      <c r="E10" s="16"/>
      <c r="F10" s="16"/>
      <c r="G10" s="16"/>
      <c r="H10" s="16"/>
      <c r="I10" s="16"/>
    </row>
    <row r="11" spans="1:16" ht="16.5" hidden="1" thickBot="1">
      <c r="A11" s="7" t="s">
        <v>25</v>
      </c>
      <c r="B11" s="5">
        <v>1</v>
      </c>
      <c r="C11" s="64" t="s">
        <v>95</v>
      </c>
      <c r="D11" s="42"/>
      <c r="E11" s="42"/>
      <c r="F11" s="42" t="s">
        <v>12</v>
      </c>
      <c r="G11" s="42" t="s">
        <v>12</v>
      </c>
      <c r="H11" s="42"/>
      <c r="I11" s="42"/>
    </row>
    <row r="12" spans="1:16" ht="16.5" hidden="1" thickBot="1">
      <c r="A12" s="7" t="s">
        <v>26</v>
      </c>
      <c r="B12" s="5">
        <v>10</v>
      </c>
      <c r="C12" s="64" t="s">
        <v>96</v>
      </c>
      <c r="D12" s="42"/>
      <c r="E12" s="42"/>
      <c r="F12" s="42" t="s">
        <v>12</v>
      </c>
      <c r="G12" s="42" t="s">
        <v>12</v>
      </c>
      <c r="H12" s="42"/>
      <c r="I12" s="42"/>
    </row>
    <row r="13" spans="1:16" ht="51.75" hidden="1" customHeight="1" thickBot="1">
      <c r="A13" s="28" t="s">
        <v>27</v>
      </c>
      <c r="B13" s="30">
        <v>101</v>
      </c>
      <c r="C13" s="69" t="s">
        <v>97</v>
      </c>
      <c r="D13" s="31"/>
      <c r="E13" s="31"/>
      <c r="F13" s="31"/>
      <c r="G13" s="31"/>
      <c r="H13" s="31"/>
      <c r="I13" s="31"/>
      <c r="K13" s="33" t="s">
        <v>7</v>
      </c>
      <c r="L13" s="32" t="s">
        <v>8</v>
      </c>
      <c r="M13" s="32" t="s">
        <v>9</v>
      </c>
      <c r="N13" s="32" t="s">
        <v>60</v>
      </c>
      <c r="O13" s="32" t="s">
        <v>10</v>
      </c>
      <c r="P13" s="32" t="s">
        <v>11</v>
      </c>
    </row>
    <row r="14" spans="1:16" ht="18.600000000000001" hidden="1" customHeight="1" thickBot="1">
      <c r="A14" s="11" t="s">
        <v>13</v>
      </c>
      <c r="B14" s="6">
        <v>102</v>
      </c>
      <c r="C14" s="68" t="s">
        <v>98</v>
      </c>
      <c r="D14" s="46"/>
      <c r="E14" s="46"/>
      <c r="F14" s="46"/>
      <c r="G14" s="46"/>
      <c r="H14" s="46"/>
      <c r="I14" s="46"/>
      <c r="J14" t="s">
        <v>88</v>
      </c>
      <c r="K14">
        <f>D15+D19+D22</f>
        <v>0</v>
      </c>
      <c r="L14">
        <f t="shared" ref="L14:P14" si="0">E15+E19+E22</f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</row>
    <row r="15" spans="1:16" ht="18.600000000000001" hidden="1" customHeight="1" thickBot="1">
      <c r="A15" s="11" t="s">
        <v>14</v>
      </c>
      <c r="B15" s="6">
        <v>126</v>
      </c>
      <c r="C15" s="68" t="s">
        <v>99</v>
      </c>
      <c r="D15" s="46"/>
      <c r="E15" s="46"/>
      <c r="F15" s="46"/>
      <c r="G15" s="46"/>
      <c r="H15" s="46"/>
      <c r="I15" s="46"/>
      <c r="J15" t="s">
        <v>89</v>
      </c>
      <c r="K15">
        <f>D16+D20+D23</f>
        <v>0</v>
      </c>
      <c r="L15">
        <f t="shared" ref="L15:P15" si="1">E16+E20+E23</f>
        <v>0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</row>
    <row r="16" spans="1:16" ht="18.600000000000001" hidden="1" customHeight="1" thickBot="1">
      <c r="A16" s="11" t="s">
        <v>28</v>
      </c>
      <c r="B16" s="6">
        <v>145</v>
      </c>
      <c r="C16" s="68" t="s">
        <v>100</v>
      </c>
      <c r="D16" s="46"/>
      <c r="E16" s="46"/>
      <c r="F16" s="46"/>
      <c r="G16" s="46"/>
      <c r="H16" s="46"/>
      <c r="I16" s="46"/>
      <c r="J16" t="s">
        <v>20</v>
      </c>
      <c r="K16">
        <f>D24</f>
        <v>0</v>
      </c>
      <c r="L16">
        <f t="shared" ref="L16:P16" si="2">E24</f>
        <v>0</v>
      </c>
      <c r="M16">
        <f t="shared" si="2"/>
        <v>0</v>
      </c>
      <c r="N16">
        <f t="shared" si="2"/>
        <v>0</v>
      </c>
      <c r="O16">
        <f t="shared" si="2"/>
        <v>0</v>
      </c>
      <c r="P16">
        <f t="shared" si="2"/>
        <v>0</v>
      </c>
    </row>
    <row r="17" spans="1:16" ht="18.600000000000001" hidden="1" customHeight="1" thickBot="1">
      <c r="A17" s="11" t="s">
        <v>16</v>
      </c>
      <c r="B17" s="6">
        <v>146</v>
      </c>
      <c r="C17" s="68" t="s">
        <v>101</v>
      </c>
      <c r="D17" s="46"/>
      <c r="E17" s="46"/>
      <c r="F17" s="46"/>
      <c r="G17" s="46"/>
      <c r="H17" s="46"/>
      <c r="I17" s="46"/>
      <c r="J17" t="s">
        <v>90</v>
      </c>
      <c r="K17">
        <f>K14+K15+K16</f>
        <v>0</v>
      </c>
      <c r="L17">
        <f t="shared" ref="L17:P17" si="3">L14+L15+L16</f>
        <v>0</v>
      </c>
      <c r="M17">
        <f t="shared" si="3"/>
        <v>0</v>
      </c>
      <c r="N17">
        <f t="shared" si="3"/>
        <v>0</v>
      </c>
      <c r="O17">
        <f t="shared" si="3"/>
        <v>0</v>
      </c>
      <c r="P17">
        <f t="shared" si="3"/>
        <v>0</v>
      </c>
    </row>
    <row r="18" spans="1:16" ht="18.600000000000001" hidden="1" customHeight="1" thickBot="1">
      <c r="A18" s="11" t="s">
        <v>17</v>
      </c>
      <c r="B18" s="6">
        <v>103</v>
      </c>
      <c r="C18" s="68" t="s">
        <v>102</v>
      </c>
      <c r="D18" s="46"/>
      <c r="E18" s="46"/>
      <c r="F18" s="46"/>
      <c r="G18" s="46"/>
      <c r="H18" s="46"/>
      <c r="I18" s="46"/>
      <c r="J18" t="s">
        <v>91</v>
      </c>
      <c r="K18">
        <f>D13-K17</f>
        <v>0</v>
      </c>
      <c r="L18">
        <f t="shared" ref="L18:P18" si="4">E13-L17</f>
        <v>0</v>
      </c>
      <c r="M18">
        <f t="shared" si="4"/>
        <v>0</v>
      </c>
      <c r="N18">
        <f t="shared" si="4"/>
        <v>0</v>
      </c>
      <c r="O18">
        <f t="shared" si="4"/>
        <v>0</v>
      </c>
      <c r="P18">
        <f t="shared" si="4"/>
        <v>0</v>
      </c>
    </row>
    <row r="19" spans="1:16" ht="18.600000000000001" hidden="1" customHeight="1" thickBot="1">
      <c r="A19" s="11" t="s">
        <v>14</v>
      </c>
      <c r="B19" s="6">
        <v>126</v>
      </c>
      <c r="C19" s="68" t="s">
        <v>103</v>
      </c>
      <c r="D19" s="46"/>
      <c r="E19" s="46"/>
      <c r="F19" s="46"/>
      <c r="G19" s="46"/>
      <c r="H19" s="46"/>
      <c r="I19" s="46"/>
      <c r="K19">
        <v>13.629999999999999</v>
      </c>
      <c r="L19">
        <v>13.879999999999999</v>
      </c>
      <c r="M19">
        <v>12.379999999999999</v>
      </c>
      <c r="N19">
        <v>11.96</v>
      </c>
      <c r="O19">
        <v>13.629999999999999</v>
      </c>
      <c r="P19">
        <v>13.25</v>
      </c>
    </row>
    <row r="20" spans="1:16" ht="18.600000000000001" hidden="1" customHeight="1" thickBot="1">
      <c r="A20" s="11" t="s">
        <v>18</v>
      </c>
      <c r="B20" s="6">
        <v>145</v>
      </c>
      <c r="C20" s="68" t="s">
        <v>104</v>
      </c>
      <c r="D20" s="46"/>
      <c r="E20" s="46"/>
      <c r="F20" s="46"/>
      <c r="G20" s="46"/>
      <c r="H20" s="46"/>
      <c r="I20" s="46"/>
    </row>
    <row r="21" spans="1:16" ht="18.600000000000001" hidden="1" customHeight="1" thickBot="1">
      <c r="A21" s="11" t="s">
        <v>19</v>
      </c>
      <c r="B21" s="6">
        <v>104</v>
      </c>
      <c r="C21" s="68" t="s">
        <v>105</v>
      </c>
      <c r="D21" s="46"/>
      <c r="E21" s="46"/>
      <c r="F21" s="46"/>
      <c r="G21" s="46"/>
      <c r="H21" s="46"/>
      <c r="I21" s="46"/>
    </row>
    <row r="22" spans="1:16" ht="18.600000000000001" hidden="1" customHeight="1" thickBot="1">
      <c r="A22" s="11" t="s">
        <v>14</v>
      </c>
      <c r="B22" s="6">
        <v>126</v>
      </c>
      <c r="C22" s="68" t="s">
        <v>106</v>
      </c>
      <c r="D22" s="46"/>
      <c r="E22" s="46"/>
      <c r="F22" s="46"/>
      <c r="G22" s="46"/>
      <c r="H22" s="46"/>
      <c r="I22" s="46"/>
    </row>
    <row r="23" spans="1:16" ht="18.600000000000001" hidden="1" customHeight="1" thickBot="1">
      <c r="A23" s="11" t="s">
        <v>18</v>
      </c>
      <c r="B23" s="6">
        <v>145</v>
      </c>
      <c r="C23" s="68" t="s">
        <v>107</v>
      </c>
      <c r="D23" s="46"/>
      <c r="E23" s="46"/>
      <c r="F23" s="46"/>
      <c r="G23" s="46"/>
      <c r="H23" s="46"/>
      <c r="I23" s="46"/>
    </row>
    <row r="24" spans="1:16" ht="18.600000000000001" hidden="1" customHeight="1" thickBot="1">
      <c r="A24" s="11" t="s">
        <v>20</v>
      </c>
      <c r="B24" s="6">
        <v>177</v>
      </c>
      <c r="C24" s="68" t="s">
        <v>108</v>
      </c>
      <c r="D24" s="46"/>
      <c r="E24" s="46"/>
      <c r="F24" s="46"/>
      <c r="G24" s="46"/>
      <c r="H24" s="46"/>
      <c r="I24" s="46"/>
    </row>
    <row r="25" spans="1:16" ht="35.25" hidden="1" customHeight="1" thickBot="1">
      <c r="A25" s="28" t="s">
        <v>21</v>
      </c>
      <c r="B25" s="30">
        <v>100</v>
      </c>
      <c r="C25" s="69" t="s">
        <v>109</v>
      </c>
      <c r="D25" s="31">
        <f>D26+D30+D33</f>
        <v>0</v>
      </c>
      <c r="E25" s="31">
        <f>E26+E30+E33</f>
        <v>0</v>
      </c>
      <c r="F25" s="31" t="s">
        <v>12</v>
      </c>
      <c r="G25" s="31">
        <f t="shared" ref="G25:I25" si="5">G26+G30+G33</f>
        <v>0</v>
      </c>
      <c r="H25" s="31">
        <f t="shared" si="5"/>
        <v>0</v>
      </c>
      <c r="I25" s="31">
        <f t="shared" si="5"/>
        <v>0</v>
      </c>
      <c r="K25" s="33" t="s">
        <v>7</v>
      </c>
      <c r="L25" s="32" t="s">
        <v>8</v>
      </c>
      <c r="M25" s="32" t="s">
        <v>9</v>
      </c>
      <c r="N25" s="32" t="s">
        <v>60</v>
      </c>
      <c r="O25" s="32" t="s">
        <v>10</v>
      </c>
      <c r="P25" s="32" t="s">
        <v>11</v>
      </c>
    </row>
    <row r="26" spans="1:16" ht="18.600000000000001" hidden="1" customHeight="1" thickBot="1">
      <c r="A26" s="11" t="s">
        <v>13</v>
      </c>
      <c r="B26" s="6">
        <v>105</v>
      </c>
      <c r="C26" s="68" t="s">
        <v>110</v>
      </c>
      <c r="D26" s="46"/>
      <c r="E26" s="46"/>
      <c r="F26" s="46" t="s">
        <v>12</v>
      </c>
      <c r="G26" s="46"/>
      <c r="H26" s="46"/>
      <c r="I26" s="46"/>
      <c r="J26" t="s">
        <v>88</v>
      </c>
      <c r="K26">
        <f>D27+D31+D34</f>
        <v>0</v>
      </c>
      <c r="L26">
        <f t="shared" ref="L26:P26" si="6">E27+E31+E34</f>
        <v>0</v>
      </c>
      <c r="M26" t="e">
        <f t="shared" si="6"/>
        <v>#VALUE!</v>
      </c>
      <c r="N26">
        <f t="shared" si="6"/>
        <v>0</v>
      </c>
      <c r="O26">
        <f t="shared" si="6"/>
        <v>0</v>
      </c>
      <c r="P26">
        <f t="shared" si="6"/>
        <v>0</v>
      </c>
    </row>
    <row r="27" spans="1:16" ht="18.600000000000001" hidden="1" customHeight="1" thickBot="1">
      <c r="A27" s="11" t="s">
        <v>14</v>
      </c>
      <c r="B27" s="6">
        <v>120</v>
      </c>
      <c r="C27" s="68" t="s">
        <v>111</v>
      </c>
      <c r="D27" s="46"/>
      <c r="E27" s="46"/>
      <c r="F27" s="46" t="s">
        <v>12</v>
      </c>
      <c r="G27" s="46"/>
      <c r="H27" s="46"/>
      <c r="I27" s="46"/>
      <c r="J27" t="s">
        <v>89</v>
      </c>
      <c r="K27">
        <f>D28+D32+D35</f>
        <v>0</v>
      </c>
      <c r="L27">
        <f t="shared" ref="L27:P27" si="7">E28+E32+E35</f>
        <v>0</v>
      </c>
      <c r="M27" t="e">
        <f t="shared" si="7"/>
        <v>#VALUE!</v>
      </c>
      <c r="N27">
        <f t="shared" si="7"/>
        <v>0</v>
      </c>
      <c r="O27">
        <f t="shared" si="7"/>
        <v>0</v>
      </c>
      <c r="P27">
        <f t="shared" si="7"/>
        <v>0</v>
      </c>
    </row>
    <row r="28" spans="1:16" ht="18.600000000000001" hidden="1" customHeight="1" thickBot="1">
      <c r="A28" s="11" t="s">
        <v>15</v>
      </c>
      <c r="B28" s="6">
        <v>140</v>
      </c>
      <c r="C28" s="68" t="s">
        <v>112</v>
      </c>
      <c r="D28" s="46"/>
      <c r="E28" s="46"/>
      <c r="F28" s="46" t="s">
        <v>12</v>
      </c>
      <c r="G28" s="46"/>
      <c r="H28" s="46"/>
      <c r="I28" s="46"/>
      <c r="J28" t="s">
        <v>20</v>
      </c>
      <c r="K28">
        <f>D36</f>
        <v>0</v>
      </c>
      <c r="L28">
        <f t="shared" ref="L28:P28" si="8">E36</f>
        <v>0</v>
      </c>
      <c r="M28" t="str">
        <f t="shared" si="8"/>
        <v>x</v>
      </c>
      <c r="N28">
        <f t="shared" si="8"/>
        <v>0</v>
      </c>
      <c r="O28">
        <f t="shared" si="8"/>
        <v>0</v>
      </c>
      <c r="P28">
        <f t="shared" si="8"/>
        <v>0</v>
      </c>
    </row>
    <row r="29" spans="1:16" ht="18.600000000000001" hidden="1" customHeight="1" thickBot="1">
      <c r="A29" s="11" t="s">
        <v>16</v>
      </c>
      <c r="B29" s="6">
        <v>147</v>
      </c>
      <c r="C29" s="68" t="s">
        <v>113</v>
      </c>
      <c r="D29" s="46"/>
      <c r="E29" s="46"/>
      <c r="F29" s="46" t="s">
        <v>12</v>
      </c>
      <c r="G29" s="46"/>
      <c r="H29" s="46"/>
      <c r="I29" s="46"/>
      <c r="J29" t="s">
        <v>90</v>
      </c>
      <c r="K29">
        <f>K26+K27+K28</f>
        <v>0</v>
      </c>
      <c r="L29">
        <f t="shared" ref="L29:P29" si="9">L26+L27+L28</f>
        <v>0</v>
      </c>
      <c r="M29" t="e">
        <f t="shared" si="9"/>
        <v>#VALUE!</v>
      </c>
      <c r="N29">
        <f t="shared" si="9"/>
        <v>0</v>
      </c>
      <c r="O29">
        <f t="shared" si="9"/>
        <v>0</v>
      </c>
      <c r="P29">
        <f t="shared" si="9"/>
        <v>0</v>
      </c>
    </row>
    <row r="30" spans="1:16" ht="18.600000000000001" hidden="1" customHeight="1" thickBot="1">
      <c r="A30" s="11" t="s">
        <v>17</v>
      </c>
      <c r="B30" s="6">
        <v>106</v>
      </c>
      <c r="C30" s="68" t="s">
        <v>114</v>
      </c>
      <c r="D30" s="46"/>
      <c r="E30" s="46"/>
      <c r="F30" s="46" t="s">
        <v>12</v>
      </c>
      <c r="G30" s="46"/>
      <c r="H30" s="46"/>
      <c r="I30" s="46"/>
      <c r="J30" t="s">
        <v>91</v>
      </c>
      <c r="K30">
        <f>K29-D25</f>
        <v>0</v>
      </c>
      <c r="L30">
        <f t="shared" ref="L30:P30" si="10">L29-E25</f>
        <v>0</v>
      </c>
      <c r="M30" t="e">
        <f t="shared" si="10"/>
        <v>#VALUE!</v>
      </c>
      <c r="N30">
        <f t="shared" si="10"/>
        <v>0</v>
      </c>
      <c r="O30">
        <f t="shared" si="10"/>
        <v>0</v>
      </c>
      <c r="P30">
        <f t="shared" si="10"/>
        <v>0</v>
      </c>
    </row>
    <row r="31" spans="1:16" ht="18.600000000000001" hidden="1" customHeight="1" thickBot="1">
      <c r="A31" s="11" t="s">
        <v>14</v>
      </c>
      <c r="B31" s="6">
        <v>120</v>
      </c>
      <c r="C31" s="68" t="s">
        <v>115</v>
      </c>
      <c r="D31" s="46"/>
      <c r="E31" s="46"/>
      <c r="F31" s="46" t="s">
        <v>12</v>
      </c>
      <c r="G31" s="46"/>
      <c r="H31" s="46"/>
      <c r="I31" s="46"/>
    </row>
    <row r="32" spans="1:16" ht="18.600000000000001" hidden="1" customHeight="1" thickBot="1">
      <c r="A32" s="11" t="s">
        <v>18</v>
      </c>
      <c r="B32" s="6">
        <v>140</v>
      </c>
      <c r="C32" s="68" t="s">
        <v>116</v>
      </c>
      <c r="D32" s="46"/>
      <c r="E32" s="46"/>
      <c r="F32" s="46" t="s">
        <v>12</v>
      </c>
      <c r="G32" s="46"/>
      <c r="H32" s="46"/>
      <c r="I32" s="46"/>
    </row>
    <row r="33" spans="1:21" ht="18.600000000000001" hidden="1" customHeight="1" thickBot="1">
      <c r="A33" s="11" t="s">
        <v>19</v>
      </c>
      <c r="B33" s="6">
        <v>107</v>
      </c>
      <c r="C33" s="68" t="s">
        <v>117</v>
      </c>
      <c r="D33" s="46"/>
      <c r="E33" s="46"/>
      <c r="F33" s="46" t="s">
        <v>12</v>
      </c>
      <c r="G33" s="46"/>
      <c r="H33" s="46"/>
      <c r="I33" s="46"/>
    </row>
    <row r="34" spans="1:21" ht="18.600000000000001" hidden="1" customHeight="1" thickBot="1">
      <c r="A34" s="11" t="s">
        <v>14</v>
      </c>
      <c r="B34" s="6">
        <v>120</v>
      </c>
      <c r="C34" s="68" t="s">
        <v>118</v>
      </c>
      <c r="D34" s="46"/>
      <c r="E34" s="46"/>
      <c r="F34" s="46" t="s">
        <v>12</v>
      </c>
      <c r="G34" s="46"/>
      <c r="H34" s="46"/>
      <c r="I34" s="46"/>
    </row>
    <row r="35" spans="1:21" ht="18.600000000000001" hidden="1" customHeight="1" thickBot="1">
      <c r="A35" s="11" t="s">
        <v>18</v>
      </c>
      <c r="B35" s="6">
        <v>140</v>
      </c>
      <c r="C35" s="68" t="s">
        <v>119</v>
      </c>
      <c r="D35" s="46"/>
      <c r="E35" s="46"/>
      <c r="F35" s="46" t="s">
        <v>12</v>
      </c>
      <c r="G35" s="46"/>
      <c r="H35" s="46"/>
      <c r="I35" s="46"/>
    </row>
    <row r="36" spans="1:21" ht="18.600000000000001" hidden="1" customHeight="1" thickBot="1">
      <c r="A36" s="11" t="s">
        <v>20</v>
      </c>
      <c r="B36" s="6">
        <v>175</v>
      </c>
      <c r="C36" s="68" t="s">
        <v>120</v>
      </c>
      <c r="D36" s="46"/>
      <c r="E36" s="46"/>
      <c r="F36" s="46" t="s">
        <v>12</v>
      </c>
      <c r="G36" s="46"/>
      <c r="H36" s="46"/>
      <c r="I36" s="46"/>
    </row>
    <row r="37" spans="1:21" ht="44.25" customHeight="1" thickBot="1">
      <c r="A37" s="28" t="s">
        <v>22</v>
      </c>
      <c r="B37" s="30">
        <v>108</v>
      </c>
      <c r="C37" s="69" t="s">
        <v>121</v>
      </c>
      <c r="D37" s="92">
        <f>D38+D39</f>
        <v>5</v>
      </c>
      <c r="E37" s="92">
        <f>E38+E39</f>
        <v>5</v>
      </c>
      <c r="F37" s="31" t="s">
        <v>12</v>
      </c>
      <c r="G37" s="31" t="s">
        <v>12</v>
      </c>
      <c r="H37" s="92">
        <f t="shared" ref="H37" si="11">H38+H39</f>
        <v>5</v>
      </c>
      <c r="I37" s="92">
        <f>I38+I39</f>
        <v>5</v>
      </c>
      <c r="K37" s="98"/>
      <c r="R37" s="38"/>
    </row>
    <row r="38" spans="1:21" ht="24" customHeight="1" thickBot="1">
      <c r="A38" s="7" t="s">
        <v>29</v>
      </c>
      <c r="B38" s="6">
        <v>120</v>
      </c>
      <c r="C38" s="81" t="s">
        <v>122</v>
      </c>
      <c r="D38" s="46">
        <v>1</v>
      </c>
      <c r="E38" s="83">
        <v>1</v>
      </c>
      <c r="F38" s="46" t="s">
        <v>12</v>
      </c>
      <c r="G38" s="46" t="s">
        <v>12</v>
      </c>
      <c r="H38" s="46">
        <f>D38</f>
        <v>1</v>
      </c>
      <c r="I38" s="83">
        <v>1</v>
      </c>
      <c r="K38" s="98"/>
    </row>
    <row r="39" spans="1:21" ht="24" customHeight="1" thickBot="1">
      <c r="A39" s="7" t="s">
        <v>30</v>
      </c>
      <c r="B39" s="6">
        <v>140</v>
      </c>
      <c r="C39" s="81" t="s">
        <v>123</v>
      </c>
      <c r="D39" s="88">
        <v>4</v>
      </c>
      <c r="E39" s="83">
        <v>4</v>
      </c>
      <c r="F39" s="46" t="s">
        <v>12</v>
      </c>
      <c r="G39" s="46" t="s">
        <v>12</v>
      </c>
      <c r="H39" s="88">
        <f>D39</f>
        <v>4</v>
      </c>
      <c r="I39" s="83">
        <v>4</v>
      </c>
      <c r="K39" s="98"/>
      <c r="N39" s="38"/>
    </row>
    <row r="40" spans="1:21" ht="38.25" customHeight="1" thickBot="1">
      <c r="A40" s="28" t="s">
        <v>31</v>
      </c>
      <c r="B40" s="30">
        <v>500</v>
      </c>
      <c r="C40" s="69" t="s">
        <v>124</v>
      </c>
      <c r="D40" s="31" t="s">
        <v>12</v>
      </c>
      <c r="E40" s="31" t="s">
        <v>12</v>
      </c>
      <c r="F40" s="51"/>
      <c r="G40" s="51"/>
      <c r="H40" s="31" t="s">
        <v>12</v>
      </c>
      <c r="I40" s="31" t="s">
        <v>12</v>
      </c>
      <c r="L40" s="56"/>
      <c r="P40" s="38"/>
      <c r="T40" s="38"/>
      <c r="U40" s="38"/>
    </row>
    <row r="41" spans="1:21" ht="18.600000000000001" customHeight="1" thickBot="1">
      <c r="A41" s="7" t="s">
        <v>13</v>
      </c>
      <c r="B41" s="6">
        <v>501</v>
      </c>
      <c r="C41" s="68" t="s">
        <v>125</v>
      </c>
      <c r="D41" s="46" t="s">
        <v>12</v>
      </c>
      <c r="E41" s="46" t="s">
        <v>12</v>
      </c>
      <c r="F41" s="52"/>
      <c r="G41" s="52"/>
      <c r="H41" s="46" t="s">
        <v>12</v>
      </c>
      <c r="I41" s="46" t="s">
        <v>12</v>
      </c>
      <c r="L41" s="56"/>
      <c r="P41" s="38"/>
      <c r="T41" s="38"/>
      <c r="U41" s="38"/>
    </row>
    <row r="42" spans="1:21" ht="18.600000000000001" customHeight="1" thickBot="1">
      <c r="A42" s="7" t="s">
        <v>14</v>
      </c>
      <c r="B42" s="6">
        <v>510</v>
      </c>
      <c r="C42" s="68" t="s">
        <v>126</v>
      </c>
      <c r="D42" s="46" t="s">
        <v>12</v>
      </c>
      <c r="E42" s="46" t="s">
        <v>12</v>
      </c>
      <c r="F42" s="52"/>
      <c r="G42" s="46"/>
      <c r="H42" s="46" t="s">
        <v>12</v>
      </c>
      <c r="I42" s="46" t="s">
        <v>12</v>
      </c>
      <c r="L42" s="56"/>
      <c r="P42" s="38"/>
      <c r="T42" s="38"/>
      <c r="U42" s="38"/>
    </row>
    <row r="43" spans="1:21" ht="18.600000000000001" customHeight="1" thickBot="1">
      <c r="A43" s="7" t="s">
        <v>15</v>
      </c>
      <c r="B43" s="6">
        <v>540</v>
      </c>
      <c r="C43" s="68" t="s">
        <v>127</v>
      </c>
      <c r="D43" s="46" t="s">
        <v>12</v>
      </c>
      <c r="E43" s="46" t="s">
        <v>12</v>
      </c>
      <c r="F43" s="52"/>
      <c r="G43" s="46"/>
      <c r="H43" s="46" t="s">
        <v>12</v>
      </c>
      <c r="I43" s="46" t="s">
        <v>12</v>
      </c>
      <c r="L43" s="56"/>
      <c r="O43" s="38"/>
      <c r="P43" s="38"/>
      <c r="T43" s="38"/>
      <c r="U43" s="38"/>
    </row>
    <row r="44" spans="1:21" ht="18.600000000000001" customHeight="1" thickBot="1">
      <c r="A44" s="7" t="s">
        <v>16</v>
      </c>
      <c r="B44" s="6">
        <v>148</v>
      </c>
      <c r="C44" s="68" t="s">
        <v>128</v>
      </c>
      <c r="D44" s="46" t="s">
        <v>12</v>
      </c>
      <c r="E44" s="46" t="s">
        <v>12</v>
      </c>
      <c r="F44" s="52"/>
      <c r="G44" s="52"/>
      <c r="H44" s="46" t="s">
        <v>12</v>
      </c>
      <c r="I44" s="46" t="s">
        <v>12</v>
      </c>
      <c r="L44" s="56"/>
      <c r="P44" s="38"/>
      <c r="T44" s="38"/>
      <c r="U44" s="38"/>
    </row>
    <row r="45" spans="1:21" ht="18.600000000000001" customHeight="1" thickBot="1">
      <c r="A45" s="7" t="s">
        <v>17</v>
      </c>
      <c r="B45" s="6">
        <v>502</v>
      </c>
      <c r="C45" s="68" t="s">
        <v>129</v>
      </c>
      <c r="D45" s="46" t="s">
        <v>12</v>
      </c>
      <c r="E45" s="46" t="s">
        <v>12</v>
      </c>
      <c r="F45" s="52"/>
      <c r="G45" s="52"/>
      <c r="H45" s="46" t="s">
        <v>12</v>
      </c>
      <c r="I45" s="46" t="s">
        <v>12</v>
      </c>
      <c r="L45" s="56"/>
      <c r="P45" s="38"/>
      <c r="T45" s="38"/>
      <c r="U45" s="38"/>
    </row>
    <row r="46" spans="1:21" ht="18.600000000000001" customHeight="1" thickBot="1">
      <c r="A46" s="7" t="s">
        <v>14</v>
      </c>
      <c r="B46" s="6">
        <v>510</v>
      </c>
      <c r="C46" s="68" t="s">
        <v>130</v>
      </c>
      <c r="D46" s="46" t="s">
        <v>12</v>
      </c>
      <c r="E46" s="46" t="s">
        <v>12</v>
      </c>
      <c r="F46" s="52"/>
      <c r="G46" s="46"/>
      <c r="H46" s="46" t="s">
        <v>12</v>
      </c>
      <c r="I46" s="46" t="s">
        <v>12</v>
      </c>
      <c r="L46" s="56"/>
      <c r="P46" s="38"/>
      <c r="T46" s="38"/>
      <c r="U46" s="38"/>
    </row>
    <row r="47" spans="1:21" ht="18.600000000000001" customHeight="1" thickBot="1">
      <c r="A47" s="7" t="s">
        <v>18</v>
      </c>
      <c r="B47" s="6">
        <v>540</v>
      </c>
      <c r="C47" s="68" t="s">
        <v>131</v>
      </c>
      <c r="D47" s="46" t="s">
        <v>12</v>
      </c>
      <c r="E47" s="46" t="s">
        <v>12</v>
      </c>
      <c r="F47" s="52"/>
      <c r="G47" s="46"/>
      <c r="H47" s="46" t="s">
        <v>12</v>
      </c>
      <c r="I47" s="46" t="s">
        <v>12</v>
      </c>
      <c r="L47" s="56"/>
      <c r="P47" s="38"/>
      <c r="T47" s="38"/>
      <c r="U47" s="38"/>
    </row>
    <row r="48" spans="1:21" ht="18.600000000000001" customHeight="1" thickBot="1">
      <c r="A48" s="7" t="s">
        <v>19</v>
      </c>
      <c r="B48" s="6">
        <v>503</v>
      </c>
      <c r="C48" s="68" t="s">
        <v>132</v>
      </c>
      <c r="D48" s="46" t="s">
        <v>12</v>
      </c>
      <c r="E48" s="46" t="s">
        <v>12</v>
      </c>
      <c r="F48" s="52"/>
      <c r="G48" s="52"/>
      <c r="H48" s="46" t="s">
        <v>12</v>
      </c>
      <c r="I48" s="46" t="s">
        <v>12</v>
      </c>
      <c r="L48" s="56"/>
      <c r="P48" s="38"/>
      <c r="T48" s="38"/>
      <c r="U48" s="38"/>
    </row>
    <row r="49" spans="1:21" ht="18.600000000000001" customHeight="1" thickBot="1">
      <c r="A49" s="7" t="s">
        <v>14</v>
      </c>
      <c r="B49" s="6">
        <v>510</v>
      </c>
      <c r="C49" s="68" t="s">
        <v>133</v>
      </c>
      <c r="D49" s="46" t="s">
        <v>12</v>
      </c>
      <c r="E49" s="46" t="s">
        <v>12</v>
      </c>
      <c r="F49" s="52"/>
      <c r="G49" s="46"/>
      <c r="H49" s="46" t="s">
        <v>12</v>
      </c>
      <c r="I49" s="46" t="s">
        <v>12</v>
      </c>
      <c r="L49" s="56"/>
      <c r="P49" s="38"/>
      <c r="T49" s="38"/>
      <c r="U49" s="38"/>
    </row>
    <row r="50" spans="1:21" ht="18.600000000000001" customHeight="1" thickBot="1">
      <c r="A50" s="7" t="s">
        <v>18</v>
      </c>
      <c r="B50" s="6">
        <v>540</v>
      </c>
      <c r="C50" s="68" t="s">
        <v>134</v>
      </c>
      <c r="D50" s="46" t="s">
        <v>12</v>
      </c>
      <c r="E50" s="46" t="s">
        <v>12</v>
      </c>
      <c r="F50" s="52"/>
      <c r="G50" s="46"/>
      <c r="H50" s="46" t="s">
        <v>12</v>
      </c>
      <c r="I50" s="46" t="s">
        <v>12</v>
      </c>
      <c r="L50" s="56"/>
      <c r="P50" s="38"/>
      <c r="T50" s="38"/>
      <c r="U50" s="38"/>
    </row>
    <row r="51" spans="1:21" ht="18.600000000000001" customHeight="1" thickBot="1">
      <c r="A51" s="7" t="s">
        <v>20</v>
      </c>
      <c r="B51" s="6">
        <v>555</v>
      </c>
      <c r="C51" s="68" t="s">
        <v>135</v>
      </c>
      <c r="D51" s="46" t="s">
        <v>12</v>
      </c>
      <c r="E51" s="46" t="s">
        <v>12</v>
      </c>
      <c r="F51" s="52"/>
      <c r="G51" s="46"/>
      <c r="H51" s="46" t="s">
        <v>12</v>
      </c>
      <c r="I51" s="46" t="s">
        <v>12</v>
      </c>
      <c r="L51" s="56"/>
      <c r="P51" s="38"/>
      <c r="T51" s="38"/>
      <c r="U51" s="38"/>
    </row>
    <row r="52" spans="1:21" ht="40.5" hidden="1" customHeight="1" thickBot="1">
      <c r="A52" s="26" t="s">
        <v>32</v>
      </c>
      <c r="B52" s="27">
        <v>1100</v>
      </c>
      <c r="C52" s="72" t="s">
        <v>136</v>
      </c>
      <c r="D52" s="43"/>
      <c r="E52" s="43"/>
      <c r="F52" s="43"/>
      <c r="G52" s="43"/>
      <c r="H52" s="43"/>
      <c r="I52" s="43"/>
    </row>
    <row r="53" spans="1:21" ht="18.600000000000001" hidden="1" customHeight="1" thickBot="1">
      <c r="A53" s="7" t="s">
        <v>33</v>
      </c>
      <c r="B53" s="6">
        <v>1101</v>
      </c>
      <c r="C53" s="68" t="s">
        <v>137</v>
      </c>
      <c r="D53" s="46"/>
      <c r="E53" s="46"/>
      <c r="F53" s="46"/>
      <c r="G53" s="46"/>
      <c r="H53" s="46"/>
      <c r="I53" s="46"/>
    </row>
    <row r="54" spans="1:21" ht="18.600000000000001" hidden="1" customHeight="1" thickBot="1">
      <c r="A54" s="7" t="s">
        <v>34</v>
      </c>
      <c r="B54" s="6">
        <v>1102</v>
      </c>
      <c r="C54" s="68" t="s">
        <v>138</v>
      </c>
      <c r="D54" s="46"/>
      <c r="E54" s="46"/>
      <c r="F54" s="46"/>
      <c r="G54" s="46"/>
      <c r="H54" s="46"/>
      <c r="I54" s="46"/>
    </row>
    <row r="55" spans="1:21" ht="18.600000000000001" hidden="1" customHeight="1" thickBot="1">
      <c r="A55" s="7" t="s">
        <v>35</v>
      </c>
      <c r="B55" s="6">
        <v>1103</v>
      </c>
      <c r="C55" s="68" t="s">
        <v>139</v>
      </c>
      <c r="D55" s="46"/>
      <c r="E55" s="46"/>
      <c r="F55" s="46"/>
      <c r="G55" s="46"/>
      <c r="H55" s="46"/>
      <c r="I55" s="46"/>
    </row>
    <row r="56" spans="1:21" ht="24.95" hidden="1" customHeight="1" thickBot="1">
      <c r="A56" s="28" t="s">
        <v>36</v>
      </c>
      <c r="B56" s="30">
        <v>1110</v>
      </c>
      <c r="C56" s="69" t="s">
        <v>140</v>
      </c>
      <c r="D56" s="31"/>
      <c r="E56" s="31"/>
      <c r="F56" s="31"/>
      <c r="G56" s="31"/>
      <c r="H56" s="31"/>
      <c r="I56" s="31"/>
    </row>
    <row r="57" spans="1:21" ht="24.95" hidden="1" customHeight="1" thickBot="1">
      <c r="A57" s="7" t="s">
        <v>33</v>
      </c>
      <c r="B57" s="6">
        <v>1111</v>
      </c>
      <c r="C57" s="68" t="s">
        <v>141</v>
      </c>
      <c r="D57" s="18"/>
      <c r="E57" s="18"/>
      <c r="F57" s="18"/>
      <c r="G57" s="18"/>
      <c r="H57" s="18"/>
      <c r="I57" s="18"/>
    </row>
    <row r="58" spans="1:21" ht="24.95" hidden="1" customHeight="1" thickBot="1">
      <c r="A58" s="7" t="s">
        <v>34</v>
      </c>
      <c r="B58" s="6">
        <v>1112</v>
      </c>
      <c r="C58" s="68" t="s">
        <v>142</v>
      </c>
      <c r="D58" s="18"/>
      <c r="E58" s="18"/>
      <c r="F58" s="18"/>
      <c r="G58" s="18"/>
      <c r="H58" s="18"/>
      <c r="I58" s="18"/>
    </row>
    <row r="59" spans="1:21" ht="24.95" hidden="1" customHeight="1" thickBot="1">
      <c r="A59" s="7" t="s">
        <v>35</v>
      </c>
      <c r="B59" s="6">
        <v>1113</v>
      </c>
      <c r="C59" s="68" t="s">
        <v>143</v>
      </c>
      <c r="D59" s="18"/>
      <c r="E59" s="18"/>
      <c r="F59" s="18"/>
      <c r="G59" s="18"/>
      <c r="H59" s="18"/>
      <c r="I59" s="18"/>
    </row>
    <row r="60" spans="1:21" ht="36.75" hidden="1" customHeight="1" thickBot="1">
      <c r="A60" s="26" t="s">
        <v>37</v>
      </c>
      <c r="B60" s="27">
        <v>1120</v>
      </c>
      <c r="C60" s="72" t="s">
        <v>144</v>
      </c>
      <c r="D60" s="43"/>
      <c r="E60" s="43"/>
      <c r="F60" s="43"/>
      <c r="G60" s="43"/>
      <c r="H60" s="43"/>
      <c r="I60" s="43"/>
    </row>
    <row r="61" spans="1:21" ht="18.600000000000001" hidden="1" customHeight="1" thickBot="1">
      <c r="A61" s="7" t="s">
        <v>33</v>
      </c>
      <c r="B61" s="6">
        <v>1121</v>
      </c>
      <c r="C61" s="68" t="s">
        <v>145</v>
      </c>
      <c r="D61" s="46"/>
      <c r="E61" s="46"/>
      <c r="F61" s="46"/>
      <c r="G61" s="46"/>
      <c r="H61" s="46"/>
      <c r="I61" s="46"/>
    </row>
    <row r="62" spans="1:21" ht="18.600000000000001" hidden="1" customHeight="1" thickBot="1">
      <c r="A62" s="7" t="s">
        <v>34</v>
      </c>
      <c r="B62" s="6">
        <v>1122</v>
      </c>
      <c r="C62" s="68" t="s">
        <v>146</v>
      </c>
      <c r="D62" s="46"/>
      <c r="E62" s="46"/>
      <c r="F62" s="46"/>
      <c r="G62" s="46"/>
      <c r="H62" s="46"/>
      <c r="I62" s="46"/>
    </row>
    <row r="63" spans="1:21" ht="18.600000000000001" hidden="1" customHeight="1" thickBot="1">
      <c r="A63" s="7" t="s">
        <v>35</v>
      </c>
      <c r="B63" s="6">
        <v>1123</v>
      </c>
      <c r="C63" s="68" t="s">
        <v>147</v>
      </c>
      <c r="D63" s="46"/>
      <c r="E63" s="46"/>
      <c r="F63" s="46"/>
      <c r="G63" s="46"/>
      <c r="H63" s="46"/>
      <c r="I63" s="46"/>
    </row>
    <row r="64" spans="1:21" ht="28.5" hidden="1" customHeight="1" thickBot="1">
      <c r="A64" s="28" t="s">
        <v>38</v>
      </c>
      <c r="B64" s="30">
        <v>1130</v>
      </c>
      <c r="C64" s="69" t="s">
        <v>148</v>
      </c>
      <c r="D64" s="31"/>
      <c r="E64" s="31"/>
      <c r="F64" s="31"/>
      <c r="G64" s="31"/>
      <c r="H64" s="31"/>
      <c r="I64" s="31"/>
    </row>
    <row r="65" spans="1:9" ht="24.95" hidden="1" customHeight="1" thickBot="1">
      <c r="A65" s="7" t="s">
        <v>33</v>
      </c>
      <c r="B65" s="6">
        <v>1131</v>
      </c>
      <c r="C65" s="68" t="s">
        <v>149</v>
      </c>
      <c r="D65" s="18"/>
      <c r="E65" s="18"/>
      <c r="F65" s="18"/>
      <c r="G65" s="18"/>
      <c r="H65" s="18"/>
      <c r="I65" s="18"/>
    </row>
    <row r="66" spans="1:9" ht="24.95" hidden="1" customHeight="1" thickBot="1">
      <c r="A66" s="7" t="s">
        <v>34</v>
      </c>
      <c r="B66" s="6">
        <v>1132</v>
      </c>
      <c r="C66" s="68" t="s">
        <v>150</v>
      </c>
      <c r="D66" s="18"/>
      <c r="E66" s="18"/>
      <c r="F66" s="18"/>
      <c r="G66" s="18"/>
      <c r="H66" s="18"/>
      <c r="I66" s="18"/>
    </row>
    <row r="67" spans="1:9" ht="24.95" hidden="1" customHeight="1" thickBot="1">
      <c r="A67" s="7" t="s">
        <v>35</v>
      </c>
      <c r="B67" s="6">
        <v>1133</v>
      </c>
      <c r="C67" s="68" t="s">
        <v>151</v>
      </c>
      <c r="D67" s="18"/>
      <c r="E67" s="18"/>
      <c r="F67" s="18"/>
      <c r="G67" s="18"/>
      <c r="H67" s="18"/>
      <c r="I67" s="18"/>
    </row>
    <row r="68" spans="1:9" ht="36" hidden="1" customHeight="1" thickBot="1">
      <c r="A68" s="28" t="s">
        <v>39</v>
      </c>
      <c r="B68" s="30">
        <v>1040</v>
      </c>
      <c r="C68" s="69" t="s">
        <v>152</v>
      </c>
      <c r="D68" s="31"/>
      <c r="E68" s="31"/>
      <c r="F68" s="31"/>
      <c r="G68" s="31"/>
      <c r="H68" s="31"/>
      <c r="I68" s="31"/>
    </row>
    <row r="69" spans="1:9" ht="33.75" hidden="1" customHeight="1" thickBot="1">
      <c r="A69" s="7" t="s">
        <v>40</v>
      </c>
      <c r="B69" s="6">
        <v>1041</v>
      </c>
      <c r="C69" s="68" t="s">
        <v>153</v>
      </c>
      <c r="D69" s="18"/>
      <c r="E69" s="18"/>
      <c r="F69" s="18"/>
      <c r="G69" s="18"/>
      <c r="H69" s="18"/>
      <c r="I69" s="18"/>
    </row>
    <row r="70" spans="1:9" ht="33" hidden="1" customHeight="1" thickBot="1">
      <c r="A70" s="7" t="s">
        <v>41</v>
      </c>
      <c r="B70" s="6">
        <v>1042</v>
      </c>
      <c r="C70" s="68" t="s">
        <v>154</v>
      </c>
      <c r="D70" s="18"/>
      <c r="E70" s="18"/>
      <c r="F70" s="18"/>
      <c r="G70" s="18"/>
      <c r="H70" s="18"/>
      <c r="I70" s="18"/>
    </row>
    <row r="71" spans="1:9" ht="24.95" hidden="1" customHeight="1" thickBot="1">
      <c r="A71" s="7" t="s">
        <v>42</v>
      </c>
      <c r="B71" s="6">
        <v>1043</v>
      </c>
      <c r="C71" s="68" t="s">
        <v>155</v>
      </c>
      <c r="D71" s="18"/>
      <c r="E71" s="18"/>
      <c r="F71" s="18"/>
      <c r="G71" s="18"/>
      <c r="H71" s="18"/>
      <c r="I71" s="18"/>
    </row>
    <row r="72" spans="1:9" ht="36" hidden="1" customHeight="1" thickBot="1">
      <c r="A72" s="7" t="s">
        <v>43</v>
      </c>
      <c r="B72" s="6">
        <v>1045</v>
      </c>
      <c r="C72" s="68" t="s">
        <v>156</v>
      </c>
      <c r="D72" s="18"/>
      <c r="E72" s="18"/>
      <c r="F72" s="18"/>
      <c r="G72" s="18"/>
      <c r="H72" s="18"/>
      <c r="I72" s="18"/>
    </row>
    <row r="73" spans="1:9" ht="36" hidden="1" customHeight="1" thickBot="1">
      <c r="A73" s="7" t="s">
        <v>44</v>
      </c>
      <c r="B73" s="6">
        <v>1046</v>
      </c>
      <c r="C73" s="68" t="s">
        <v>157</v>
      </c>
      <c r="D73" s="18"/>
      <c r="E73" s="18"/>
      <c r="F73" s="18"/>
      <c r="G73" s="18"/>
      <c r="H73" s="18"/>
      <c r="I73" s="18"/>
    </row>
    <row r="74" spans="1:9" ht="45.75" hidden="1" customHeight="1" thickBot="1">
      <c r="A74" s="7" t="s">
        <v>45</v>
      </c>
      <c r="B74" s="6">
        <v>1047</v>
      </c>
      <c r="C74" s="68" t="s">
        <v>158</v>
      </c>
      <c r="D74" s="18"/>
      <c r="E74" s="18"/>
      <c r="F74" s="18"/>
      <c r="G74" s="18"/>
      <c r="H74" s="18"/>
      <c r="I74" s="18"/>
    </row>
    <row r="75" spans="1:9" ht="36.75" hidden="1" customHeight="1" thickBot="1">
      <c r="A75" s="28" t="s">
        <v>46</v>
      </c>
      <c r="B75" s="30">
        <v>1050</v>
      </c>
      <c r="C75" s="69" t="s">
        <v>159</v>
      </c>
      <c r="D75" s="31" t="s">
        <v>12</v>
      </c>
      <c r="E75" s="31" t="s">
        <v>12</v>
      </c>
      <c r="F75" s="31"/>
      <c r="G75" s="31"/>
      <c r="H75" s="31" t="s">
        <v>12</v>
      </c>
      <c r="I75" s="31" t="s">
        <v>12</v>
      </c>
    </row>
    <row r="76" spans="1:9" ht="35.25" hidden="1" customHeight="1" thickBot="1">
      <c r="A76" s="7" t="s">
        <v>47</v>
      </c>
      <c r="B76" s="6">
        <v>1051</v>
      </c>
      <c r="C76" s="68" t="s">
        <v>160</v>
      </c>
      <c r="D76" s="18" t="s">
        <v>12</v>
      </c>
      <c r="E76" s="18" t="s">
        <v>12</v>
      </c>
      <c r="F76" s="18"/>
      <c r="G76" s="18"/>
      <c r="H76" s="18" t="s">
        <v>12</v>
      </c>
      <c r="I76" s="18" t="s">
        <v>12</v>
      </c>
    </row>
    <row r="77" spans="1:9" ht="33.75" hidden="1" customHeight="1" thickBot="1">
      <c r="A77" s="7" t="s">
        <v>48</v>
      </c>
      <c r="B77" s="6">
        <v>1052</v>
      </c>
      <c r="C77" s="68" t="s">
        <v>161</v>
      </c>
      <c r="D77" s="18" t="s">
        <v>12</v>
      </c>
      <c r="E77" s="18" t="s">
        <v>12</v>
      </c>
      <c r="F77" s="18"/>
      <c r="G77" s="18"/>
      <c r="H77" s="18" t="s">
        <v>12</v>
      </c>
      <c r="I77" s="18" t="s">
        <v>12</v>
      </c>
    </row>
    <row r="78" spans="1:9" ht="36.75" hidden="1" customHeight="1" thickBot="1">
      <c r="A78" s="7" t="s">
        <v>49</v>
      </c>
      <c r="B78" s="6">
        <v>1053</v>
      </c>
      <c r="C78" s="68" t="s">
        <v>162</v>
      </c>
      <c r="D78" s="18" t="s">
        <v>12</v>
      </c>
      <c r="E78" s="18" t="s">
        <v>12</v>
      </c>
      <c r="F78" s="18"/>
      <c r="G78" s="18"/>
      <c r="H78" s="18" t="s">
        <v>12</v>
      </c>
      <c r="I78" s="18" t="s">
        <v>12</v>
      </c>
    </row>
    <row r="79" spans="1:9" ht="42" hidden="1" customHeight="1" thickBot="1">
      <c r="A79" s="7" t="s">
        <v>50</v>
      </c>
      <c r="B79" s="6">
        <v>1055</v>
      </c>
      <c r="C79" s="68" t="s">
        <v>163</v>
      </c>
      <c r="D79" s="18" t="s">
        <v>12</v>
      </c>
      <c r="E79" s="18" t="s">
        <v>12</v>
      </c>
      <c r="F79" s="18"/>
      <c r="G79" s="18"/>
      <c r="H79" s="18" t="s">
        <v>12</v>
      </c>
      <c r="I79" s="18" t="s">
        <v>12</v>
      </c>
    </row>
    <row r="80" spans="1:9" ht="36.75" hidden="1" customHeight="1" thickBot="1">
      <c r="A80" s="7" t="s">
        <v>51</v>
      </c>
      <c r="B80" s="6">
        <v>1056</v>
      </c>
      <c r="C80" s="68" t="s">
        <v>164</v>
      </c>
      <c r="D80" s="18" t="s">
        <v>12</v>
      </c>
      <c r="E80" s="18" t="s">
        <v>12</v>
      </c>
      <c r="F80" s="18"/>
      <c r="G80" s="18"/>
      <c r="H80" s="18" t="s">
        <v>12</v>
      </c>
      <c r="I80" s="18" t="s">
        <v>12</v>
      </c>
    </row>
    <row r="81" spans="1:9" ht="32.25" hidden="1" customHeight="1" thickBot="1">
      <c r="A81" s="7" t="s">
        <v>52</v>
      </c>
      <c r="B81" s="6">
        <v>1057</v>
      </c>
      <c r="C81" s="68" t="s">
        <v>165</v>
      </c>
      <c r="D81" s="18" t="s">
        <v>12</v>
      </c>
      <c r="E81" s="18" t="s">
        <v>12</v>
      </c>
      <c r="F81" s="18"/>
      <c r="G81" s="18"/>
      <c r="H81" s="18" t="s">
        <v>12</v>
      </c>
      <c r="I81" s="18" t="s">
        <v>12</v>
      </c>
    </row>
    <row r="82" spans="1:9" ht="34.5" hidden="1" customHeight="1" thickBot="1">
      <c r="A82" s="28" t="s">
        <v>53</v>
      </c>
      <c r="B82" s="30">
        <v>1060</v>
      </c>
      <c r="C82" s="69" t="s">
        <v>166</v>
      </c>
      <c r="D82" s="31" t="s">
        <v>12</v>
      </c>
      <c r="E82" s="31" t="s">
        <v>12</v>
      </c>
      <c r="F82" s="31"/>
      <c r="G82" s="31"/>
      <c r="H82" s="31" t="s">
        <v>12</v>
      </c>
      <c r="I82" s="31" t="s">
        <v>12</v>
      </c>
    </row>
    <row r="83" spans="1:9" ht="32.25" hidden="1" customHeight="1" thickBot="1">
      <c r="A83" s="7" t="s">
        <v>54</v>
      </c>
      <c r="B83" s="6">
        <v>1061</v>
      </c>
      <c r="C83" s="68" t="s">
        <v>167</v>
      </c>
      <c r="D83" s="18" t="s">
        <v>12</v>
      </c>
      <c r="E83" s="18" t="s">
        <v>12</v>
      </c>
      <c r="F83" s="18"/>
      <c r="G83" s="18"/>
      <c r="H83" s="18" t="s">
        <v>12</v>
      </c>
      <c r="I83" s="18" t="s">
        <v>12</v>
      </c>
    </row>
    <row r="84" spans="1:9" ht="34.5" hidden="1" customHeight="1" thickBot="1">
      <c r="A84" s="7" t="s">
        <v>55</v>
      </c>
      <c r="B84" s="6">
        <v>1062</v>
      </c>
      <c r="C84" s="68" t="s">
        <v>168</v>
      </c>
      <c r="D84" s="18"/>
      <c r="E84" s="18" t="s">
        <v>12</v>
      </c>
      <c r="F84" s="18"/>
      <c r="G84" s="18"/>
      <c r="H84" s="18" t="s">
        <v>12</v>
      </c>
      <c r="I84" s="18"/>
    </row>
    <row r="85" spans="1:9" ht="39" hidden="1" customHeight="1" thickBot="1">
      <c r="A85" s="7" t="s">
        <v>56</v>
      </c>
      <c r="B85" s="6">
        <v>1063</v>
      </c>
      <c r="C85" s="68" t="s">
        <v>169</v>
      </c>
      <c r="D85" s="18" t="s">
        <v>12</v>
      </c>
      <c r="E85" s="18" t="s">
        <v>12</v>
      </c>
      <c r="F85" s="18"/>
      <c r="G85" s="18"/>
      <c r="H85" s="18" t="s">
        <v>12</v>
      </c>
      <c r="I85" s="18" t="s">
        <v>12</v>
      </c>
    </row>
    <row r="86" spans="1:9" ht="35.25" hidden="1" customHeight="1" thickBot="1">
      <c r="A86" s="7" t="s">
        <v>57</v>
      </c>
      <c r="B86" s="6">
        <v>1065</v>
      </c>
      <c r="C86" s="68" t="s">
        <v>170</v>
      </c>
      <c r="D86" s="18" t="s">
        <v>12</v>
      </c>
      <c r="E86" s="18" t="s">
        <v>12</v>
      </c>
      <c r="F86" s="18"/>
      <c r="G86" s="18"/>
      <c r="H86" s="18" t="s">
        <v>12</v>
      </c>
      <c r="I86" s="18" t="s">
        <v>12</v>
      </c>
    </row>
    <row r="87" spans="1:9" ht="35.25" hidden="1" customHeight="1" thickBot="1">
      <c r="A87" s="7" t="s">
        <v>58</v>
      </c>
      <c r="B87" s="6">
        <v>1066</v>
      </c>
      <c r="C87" s="68" t="s">
        <v>171</v>
      </c>
      <c r="D87" s="18" t="s">
        <v>12</v>
      </c>
      <c r="E87" s="18" t="s">
        <v>12</v>
      </c>
      <c r="F87" s="18"/>
      <c r="G87" s="18"/>
      <c r="H87" s="18" t="s">
        <v>12</v>
      </c>
      <c r="I87" s="18" t="s">
        <v>12</v>
      </c>
    </row>
    <row r="88" spans="1:9" ht="36.75" hidden="1" customHeight="1" thickBot="1">
      <c r="A88" s="7" t="s">
        <v>59</v>
      </c>
      <c r="B88" s="6">
        <v>1067</v>
      </c>
      <c r="C88" s="68" t="s">
        <v>172</v>
      </c>
      <c r="D88" s="18" t="s">
        <v>12</v>
      </c>
      <c r="E88" s="18" t="s">
        <v>12</v>
      </c>
      <c r="F88" s="18"/>
      <c r="G88" s="18"/>
      <c r="H88" s="18" t="s">
        <v>12</v>
      </c>
      <c r="I88" s="18" t="s">
        <v>12</v>
      </c>
    </row>
    <row r="89" spans="1:9" ht="60.75" customHeight="1" thickBot="1">
      <c r="A89" s="28" t="s">
        <v>23</v>
      </c>
      <c r="B89" s="30">
        <v>504</v>
      </c>
      <c r="C89" s="69" t="s">
        <v>173</v>
      </c>
      <c r="D89" s="31" t="s">
        <v>12</v>
      </c>
      <c r="E89" s="31" t="s">
        <v>12</v>
      </c>
      <c r="F89" s="95">
        <v>20000</v>
      </c>
      <c r="G89" s="96">
        <v>20000</v>
      </c>
      <c r="H89" s="31" t="s">
        <v>12</v>
      </c>
      <c r="I89" s="31" t="s">
        <v>12</v>
      </c>
    </row>
    <row r="90" spans="1:9">
      <c r="A90" s="2"/>
    </row>
    <row r="91" spans="1:9">
      <c r="A91" s="3"/>
      <c r="F91">
        <f>F89/4000</f>
        <v>5</v>
      </c>
      <c r="G91">
        <f>G89/4000</f>
        <v>5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>
        <v>1</v>
      </c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A3:I3"/>
    <mergeCell ref="A4:I4"/>
    <mergeCell ref="A5:I5"/>
    <mergeCell ref="A6:I6"/>
    <mergeCell ref="A7:I7"/>
    <mergeCell ref="B92:I92"/>
    <mergeCell ref="A93:A94"/>
    <mergeCell ref="B93:B94"/>
    <mergeCell ref="C93:D93"/>
    <mergeCell ref="C94:D94"/>
    <mergeCell ref="E93:F93"/>
    <mergeCell ref="E94:F94"/>
    <mergeCell ref="G93:G94"/>
    <mergeCell ref="B101:H101"/>
    <mergeCell ref="B102:H102"/>
    <mergeCell ref="G95:G96"/>
    <mergeCell ref="A97:A98"/>
    <mergeCell ref="B97:B98"/>
    <mergeCell ref="C97:D97"/>
    <mergeCell ref="C98:D98"/>
    <mergeCell ref="E97:F97"/>
    <mergeCell ref="E98:F98"/>
    <mergeCell ref="G97:G98"/>
    <mergeCell ref="A95:A96"/>
    <mergeCell ref="B95:B96"/>
    <mergeCell ref="C95:D95"/>
    <mergeCell ref="C96:D96"/>
    <mergeCell ref="E95:F95"/>
    <mergeCell ref="E96:F96"/>
  </mergeCells>
  <pageMargins left="0" right="0" top="0.35433070866141736" bottom="0" header="0" footer="0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U103"/>
  <sheetViews>
    <sheetView topLeftCell="B4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0" bestFit="1" customWidth="1"/>
    <col min="19" max="19" width="13.7109375" bestFit="1" customWidth="1"/>
    <col min="20" max="20" width="10" bestFit="1" customWidth="1"/>
    <col min="21" max="21" width="12.42578125" bestFit="1" customWidth="1"/>
  </cols>
  <sheetData>
    <row r="2" spans="1:16" ht="22.5" customHeight="1">
      <c r="H2" t="s">
        <v>180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0" t="s">
        <v>94</v>
      </c>
      <c r="K7" s="60"/>
      <c r="L7" s="60"/>
      <c r="M7" s="60"/>
      <c r="N7" s="60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64</v>
      </c>
      <c r="K8" s="58" t="s">
        <v>61</v>
      </c>
      <c r="L8" s="58" t="s">
        <v>62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9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29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34.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  <c r="K19" s="10">
        <v>53.86</v>
      </c>
      <c r="L19" s="10">
        <v>55.92</v>
      </c>
      <c r="M19" s="10">
        <v>55.42</v>
      </c>
      <c r="N19" s="10">
        <v>54.539999999999992</v>
      </c>
      <c r="O19" s="10">
        <v>53.86</v>
      </c>
      <c r="P19" s="10">
        <v>56.14</v>
      </c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  <c r="K31" s="10">
        <v>48</v>
      </c>
      <c r="L31" s="10">
        <v>51</v>
      </c>
      <c r="M31" s="10" t="s">
        <v>93</v>
      </c>
      <c r="N31" s="10">
        <v>47</v>
      </c>
      <c r="O31" s="10">
        <v>48</v>
      </c>
      <c r="P31" s="10">
        <v>51</v>
      </c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36</v>
      </c>
      <c r="E37" s="91">
        <f>E38+E39</f>
        <v>38</v>
      </c>
      <c r="F37" s="29" t="s">
        <v>12</v>
      </c>
      <c r="G37" s="29" t="s">
        <v>12</v>
      </c>
      <c r="H37" s="91">
        <f t="shared" ref="H37" si="11">H38+H39</f>
        <v>36</v>
      </c>
      <c r="I37" s="91">
        <f>I38+I39</f>
        <v>38</v>
      </c>
      <c r="J37"/>
      <c r="K37" s="98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4</v>
      </c>
      <c r="E38" s="82">
        <v>4</v>
      </c>
      <c r="F38" s="44" t="s">
        <v>12</v>
      </c>
      <c r="G38" s="44" t="s">
        <v>12</v>
      </c>
      <c r="H38" s="44">
        <f>D38</f>
        <v>4</v>
      </c>
      <c r="I38" s="82">
        <v>4</v>
      </c>
      <c r="J38"/>
      <c r="K38" s="98"/>
      <c r="N38" s="5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32</v>
      </c>
      <c r="E39" s="82">
        <v>34</v>
      </c>
      <c r="F39" s="44" t="s">
        <v>12</v>
      </c>
      <c r="G39" s="44" t="s">
        <v>12</v>
      </c>
      <c r="H39" s="86">
        <f>D39</f>
        <v>32</v>
      </c>
      <c r="I39" s="82">
        <v>34</v>
      </c>
      <c r="J39"/>
      <c r="K39" s="98"/>
      <c r="N39" s="3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/>
      <c r="G40" s="39"/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O43" s="37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9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29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6.75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39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32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32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39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37.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33.7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35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40.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42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38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39.7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34.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33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34.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0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152000</v>
      </c>
      <c r="G89" s="29">
        <v>148000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38</v>
      </c>
      <c r="G91">
        <f>G89/4000</f>
        <v>37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U103"/>
  <sheetViews>
    <sheetView topLeftCell="B44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</cols>
  <sheetData>
    <row r="1" spans="1:16">
      <c r="I1" t="s">
        <v>176</v>
      </c>
    </row>
    <row r="2" spans="1:16" ht="11.25" customHeight="1"/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9"/>
      <c r="K8" s="59"/>
      <c r="L8" s="59"/>
      <c r="M8" s="76" t="s">
        <v>174</v>
      </c>
      <c r="N8" s="59"/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4.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25" t="s">
        <v>26</v>
      </c>
      <c r="B12" s="25">
        <v>10</v>
      </c>
      <c r="C12" s="65" t="s">
        <v>96</v>
      </c>
      <c r="D12" s="41"/>
      <c r="E12" s="41"/>
      <c r="F12" s="41" t="s">
        <v>12</v>
      </c>
      <c r="G12" s="41" t="s">
        <v>12</v>
      </c>
      <c r="H12" s="41"/>
      <c r="I12" s="41"/>
    </row>
    <row r="13" spans="1:16" s="10" customFormat="1" ht="51.75" hidden="1" customHeight="1" thickBot="1">
      <c r="A13" s="22" t="s">
        <v>27</v>
      </c>
      <c r="B13" s="23">
        <v>101</v>
      </c>
      <c r="C13" s="66" t="s">
        <v>97</v>
      </c>
      <c r="D13" s="24"/>
      <c r="E13" s="24"/>
      <c r="F13" s="24"/>
      <c r="G13" s="24"/>
      <c r="H13" s="24"/>
      <c r="I13" s="24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21" t="s">
        <v>13</v>
      </c>
      <c r="B14" s="21">
        <v>102</v>
      </c>
      <c r="C14" s="67" t="s">
        <v>98</v>
      </c>
      <c r="D14" s="45"/>
      <c r="E14" s="45"/>
      <c r="F14" s="45"/>
      <c r="G14" s="45"/>
      <c r="H14" s="45"/>
      <c r="I14" s="45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7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7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  <c r="K19" s="10">
        <v>351.70000000000005</v>
      </c>
      <c r="L19" s="10">
        <v>363.46000000000004</v>
      </c>
      <c r="M19" s="10">
        <v>358.96000000000004</v>
      </c>
      <c r="N19" s="10">
        <v>338.49</v>
      </c>
      <c r="O19" s="10">
        <v>351.70000000000005</v>
      </c>
      <c r="P19" s="10">
        <v>337.89</v>
      </c>
    </row>
    <row r="20" spans="1:16" s="10" customFormat="1" ht="18.600000000000001" hidden="1" customHeight="1" thickBot="1">
      <c r="A20" s="11" t="s">
        <v>18</v>
      </c>
      <c r="B20" s="11">
        <v>145</v>
      </c>
      <c r="C20" s="67" t="s">
        <v>104</v>
      </c>
      <c r="D20" s="44"/>
      <c r="E20" s="44"/>
      <c r="F20" s="44"/>
      <c r="G20" s="44"/>
      <c r="H20" s="44"/>
      <c r="I20" s="44"/>
      <c r="K20" s="10">
        <f>K17-K19</f>
        <v>-351.70000000000005</v>
      </c>
      <c r="L20" s="10">
        <f t="shared" ref="L20:P20" si="5">L17-L19</f>
        <v>-363.46000000000004</v>
      </c>
      <c r="M20" s="10">
        <f t="shared" si="5"/>
        <v>-358.96000000000004</v>
      </c>
      <c r="N20" s="10">
        <f t="shared" si="5"/>
        <v>-338.49</v>
      </c>
      <c r="O20" s="10">
        <f t="shared" si="5"/>
        <v>-351.70000000000005</v>
      </c>
      <c r="P20" s="10">
        <f t="shared" si="5"/>
        <v>-337.89</v>
      </c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7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20" t="s">
        <v>20</v>
      </c>
      <c r="B24" s="20">
        <v>177</v>
      </c>
      <c r="C24" s="67" t="s">
        <v>108</v>
      </c>
      <c r="D24" s="47"/>
      <c r="E24" s="47"/>
      <c r="F24" s="47"/>
      <c r="G24" s="47"/>
      <c r="H24" s="47"/>
      <c r="I24" s="47"/>
    </row>
    <row r="25" spans="1:16" s="10" customFormat="1" ht="35.25" hidden="1" customHeight="1" thickBot="1">
      <c r="A25" s="22" t="s">
        <v>21</v>
      </c>
      <c r="B25" s="23">
        <v>100</v>
      </c>
      <c r="C25" s="66" t="s">
        <v>109</v>
      </c>
      <c r="D25" s="24">
        <f>D26+D30+D33</f>
        <v>0</v>
      </c>
      <c r="E25" s="24">
        <f>E26+E30+E33</f>
        <v>0</v>
      </c>
      <c r="F25" s="24" t="s">
        <v>12</v>
      </c>
      <c r="G25" s="24">
        <f t="shared" ref="G25:I25" si="6">G26+G30+G33</f>
        <v>0</v>
      </c>
      <c r="H25" s="24">
        <f t="shared" si="6"/>
        <v>0</v>
      </c>
      <c r="I25" s="24">
        <f t="shared" si="6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21" t="s">
        <v>13</v>
      </c>
      <c r="B26" s="21">
        <v>105</v>
      </c>
      <c r="C26" s="67" t="s">
        <v>110</v>
      </c>
      <c r="D26" s="45"/>
      <c r="E26" s="45"/>
      <c r="F26" s="45" t="s">
        <v>12</v>
      </c>
      <c r="G26" s="45"/>
      <c r="H26" s="45"/>
      <c r="I26" s="45"/>
      <c r="J26" s="10" t="s">
        <v>88</v>
      </c>
      <c r="K26" s="10">
        <f>D27+D31+D34</f>
        <v>0</v>
      </c>
      <c r="L26" s="10">
        <f t="shared" ref="L26:P26" si="7">E27+E31+E34</f>
        <v>0</v>
      </c>
      <c r="M26" s="10" t="e">
        <f t="shared" si="7"/>
        <v>#VALUE!</v>
      </c>
      <c r="N26" s="10">
        <f t="shared" si="7"/>
        <v>0</v>
      </c>
      <c r="O26" s="10">
        <f t="shared" si="7"/>
        <v>0</v>
      </c>
      <c r="P26" s="10">
        <f t="shared" si="7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8">E28+E32+E35</f>
        <v>0</v>
      </c>
      <c r="M27" s="10" t="e">
        <f t="shared" si="8"/>
        <v>#VALUE!</v>
      </c>
      <c r="N27" s="10">
        <f t="shared" si="8"/>
        <v>0</v>
      </c>
      <c r="O27" s="10">
        <f t="shared" si="8"/>
        <v>0</v>
      </c>
      <c r="P27" s="10">
        <f t="shared" si="8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7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9">E36</f>
        <v>0</v>
      </c>
      <c r="M28" s="10" t="str">
        <f t="shared" si="9"/>
        <v>x</v>
      </c>
      <c r="N28" s="10">
        <f t="shared" si="9"/>
        <v>0</v>
      </c>
      <c r="O28" s="10">
        <f t="shared" si="9"/>
        <v>0</v>
      </c>
      <c r="P28" s="10">
        <f t="shared" si="9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10">L26+L27+L28</f>
        <v>0</v>
      </c>
      <c r="M29" s="10" t="e">
        <f t="shared" si="10"/>
        <v>#VALUE!</v>
      </c>
      <c r="N29" s="10">
        <f t="shared" si="10"/>
        <v>0</v>
      </c>
      <c r="O29" s="10">
        <f t="shared" si="10"/>
        <v>0</v>
      </c>
      <c r="P29" s="10">
        <f t="shared" si="10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7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1">L29-E25</f>
        <v>0</v>
      </c>
      <c r="M30" s="10" t="e">
        <f t="shared" si="11"/>
        <v>#VALUE!</v>
      </c>
      <c r="N30" s="10">
        <f t="shared" si="11"/>
        <v>0</v>
      </c>
      <c r="O30" s="10">
        <f t="shared" si="11"/>
        <v>0</v>
      </c>
      <c r="P30" s="10">
        <f t="shared" si="11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  <c r="K31" s="10">
        <v>341</v>
      </c>
      <c r="L31" s="10">
        <v>341</v>
      </c>
      <c r="M31" s="10" t="s">
        <v>93</v>
      </c>
      <c r="N31" s="10">
        <v>318</v>
      </c>
      <c r="O31" s="10">
        <v>341</v>
      </c>
      <c r="P31" s="10">
        <v>335</v>
      </c>
    </row>
    <row r="32" spans="1:16" s="10" customFormat="1" ht="18.600000000000001" hidden="1" customHeight="1" thickBot="1">
      <c r="A32" s="11" t="s">
        <v>18</v>
      </c>
      <c r="B32" s="11">
        <v>140</v>
      </c>
      <c r="C32" s="67" t="s">
        <v>116</v>
      </c>
      <c r="D32" s="44"/>
      <c r="E32" s="44"/>
      <c r="F32" s="44" t="s">
        <v>12</v>
      </c>
      <c r="G32" s="44"/>
      <c r="H32" s="44"/>
      <c r="I32" s="44"/>
      <c r="K32" s="10">
        <f>K29-K31</f>
        <v>-341</v>
      </c>
      <c r="L32" s="10">
        <f t="shared" ref="L32:P32" si="12">L29-L31</f>
        <v>-341</v>
      </c>
      <c r="M32" s="10" t="e">
        <f t="shared" si="12"/>
        <v>#VALUE!</v>
      </c>
      <c r="N32" s="10">
        <f t="shared" si="12"/>
        <v>-318</v>
      </c>
      <c r="O32" s="10">
        <f t="shared" si="12"/>
        <v>-341</v>
      </c>
      <c r="P32" s="10">
        <f t="shared" si="12"/>
        <v>-335</v>
      </c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7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7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84">
        <f>D38+D39</f>
        <v>155</v>
      </c>
      <c r="E37" s="84">
        <f>E38+E39</f>
        <v>166</v>
      </c>
      <c r="F37" s="29" t="s">
        <v>12</v>
      </c>
      <c r="G37" s="29" t="s">
        <v>12</v>
      </c>
      <c r="H37" s="84">
        <f t="shared" ref="H37" si="13">H38+H39</f>
        <v>155</v>
      </c>
      <c r="I37" s="84">
        <f>I38+I39</f>
        <v>160</v>
      </c>
      <c r="J37" s="10">
        <f>J38+J39</f>
        <v>154</v>
      </c>
      <c r="K37" s="10">
        <f>J37-I37</f>
        <v>-6</v>
      </c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89">
        <f>'gim 2'!D38+'gim 3'!D38+'gim 6'!D38+'gim 7'!D38+'gim 9'!D38+'gim 10'!D38+'gim 14'!D38+'gim 19'!D38+'gim Cuza'!D38</f>
        <v>22</v>
      </c>
      <c r="E38" s="89">
        <f>'gim 2'!E38+'gim 3'!E38+'gim 6'!E38+'gim 7'!E38+'gim 9'!E38+'gim 10'!E38+'gim 14'!E38+'gim 19'!E38+'gim Cuza'!E38</f>
        <v>22</v>
      </c>
      <c r="F38" s="44" t="s">
        <v>12</v>
      </c>
      <c r="G38" s="44" t="s">
        <v>12</v>
      </c>
      <c r="H38" s="44">
        <f>D38</f>
        <v>22</v>
      </c>
      <c r="I38" s="89">
        <f>'gim 2'!I38+'gim 3'!I38+'gim 6'!I38+'gim 7'!I38+'gim 9'!I38+'gim 10'!I38+'gim 14'!I38+'gim 19'!I38+'gim Cuza'!I38</f>
        <v>22</v>
      </c>
      <c r="J38" s="10">
        <v>29</v>
      </c>
      <c r="K38" s="10">
        <f t="shared" ref="K38:K39" si="14">J38-I38</f>
        <v>7</v>
      </c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89">
        <f>'gim 2'!D39+'gim 3'!D39+'gim 6'!D39+'gim 7'!D39+'gim 9'!D39+'gim 10'!D39+'gim 14'!D39+'gim 19'!D39+'gim Cuza'!D39</f>
        <v>133</v>
      </c>
      <c r="E39" s="89">
        <f>'gim 2'!E39+'gim 3'!E39+'gim 6'!E39+'gim 7'!E39+'gim 9'!E39+'gim 10'!E39+'gim 14'!E39+'gim 19'!E39+'gim Cuza'!E39</f>
        <v>144</v>
      </c>
      <c r="F39" s="44" t="s">
        <v>12</v>
      </c>
      <c r="G39" s="44" t="s">
        <v>12</v>
      </c>
      <c r="H39" s="44">
        <f>D39</f>
        <v>133</v>
      </c>
      <c r="I39" s="89">
        <f>'gim 2'!I39+'gim 3'!I39+'gim 6'!I39+'gim 7'!I39+'gim 9'!I39+'gim 10'!I39+'gim 14'!I39+'gim 19'!I39+'gim Cuza'!I39</f>
        <v>138</v>
      </c>
      <c r="J39" s="10">
        <v>125</v>
      </c>
      <c r="K39" s="10">
        <f t="shared" si="14"/>
        <v>-13</v>
      </c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O43" s="37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9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 t="e">
        <f>'gim 2'!D56+'gim 3'!D56+#REF!+'gim 6'!D56+'gim 7'!D56+'gim 9'!D56+'gim 10'!D56+'gim 14'!D56+#REF!+'gim 19'!D56+'gim Cuza'!D56</f>
        <v>#REF!</v>
      </c>
      <c r="E56" s="29" t="e">
        <f>'gim 2'!E56+'gim 3'!E56+#REF!+'gim 6'!E56+'gim 7'!E56+'gim 9'!E56+'gim 10'!E56+'gim 14'!E56+#REF!+'gim 19'!E56+'gim Cuza'!E56</f>
        <v>#REF!</v>
      </c>
      <c r="F56" s="29" t="e">
        <f>'gim 2'!F56+'gim 3'!F56+#REF!+'gim 6'!F56+'gim 7'!F56+'gim 9'!F56+'gim 10'!F56+'gim 14'!F56+#REF!+'gim 19'!F56+'gim Cuza'!F56</f>
        <v>#REF!</v>
      </c>
      <c r="G56" s="29" t="e">
        <f>'gim 2'!G56+'gim 3'!G56+#REF!+'gim 6'!G56+'gim 7'!G56+'gim 9'!G56+'gim 10'!G56+'gim 14'!G56+#REF!+'gim 19'!G56+'gim Cuza'!G56</f>
        <v>#REF!</v>
      </c>
      <c r="H56" s="29" t="e">
        <f>'gim 2'!H56+'gim 3'!H56+#REF!+'gim 6'!H56+'gim 7'!H56+'gim 9'!H56+'gim 10'!H56+'gim 14'!H56+#REF!+'gim 19'!H56+'gim Cuza'!H56</f>
        <v>#REF!</v>
      </c>
      <c r="I56" s="29" t="e">
        <f>'gim 2'!I56+'gim 3'!I56+#REF!+'gim 6'!I56+'gim 7'!I56+'gim 9'!I56+'gim 10'!I56+'gim 14'!I56+#REF!+'gim 19'!I56+'gim Cuza'!I56</f>
        <v>#REF!</v>
      </c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 t="e">
        <f>'gim 2'!D57+'gim 3'!D57+#REF!+'gim 6'!D57+'gim 7'!D57+'gim 9'!D57+'gim 10'!D57+'gim 14'!D57+#REF!+'gim 19'!D57+'gim Cuza'!D57</f>
        <v>#REF!</v>
      </c>
      <c r="E57" s="17" t="e">
        <f>'gim 2'!E57+'gim 3'!E57+#REF!+'gim 6'!E57+'gim 7'!E57+'gim 9'!E57+'gim 10'!E57+'gim 14'!E57+#REF!+'gim 19'!E57+'gim Cuza'!E57</f>
        <v>#REF!</v>
      </c>
      <c r="F57" s="17" t="e">
        <f>'gim 2'!F57+'gim 3'!F57+#REF!+'gim 6'!F57+'gim 7'!F57+'gim 9'!F57+'gim 10'!F57+'gim 14'!F57+#REF!+'gim 19'!F57+'gim Cuza'!F57</f>
        <v>#REF!</v>
      </c>
      <c r="G57" s="17" t="e">
        <f>'gim 2'!G57+'gim 3'!G57+#REF!+'gim 6'!G57+'gim 7'!G57+'gim 9'!G57+'gim 10'!G57+'gim 14'!G57+#REF!+'gim 19'!G57+'gim Cuza'!G57</f>
        <v>#REF!</v>
      </c>
      <c r="H57" s="17" t="e">
        <f>'gim 2'!H57+'gim 3'!H57+#REF!+'gim 6'!H57+'gim 7'!H57+'gim 9'!H57+'gim 10'!H57+'gim 14'!H57+#REF!+'gim 19'!H57+'gim Cuza'!H57</f>
        <v>#REF!</v>
      </c>
      <c r="I57" s="17" t="e">
        <f>'gim 2'!I57+'gim 3'!I57+#REF!+'gim 6'!I57+'gim 7'!I57+'gim 9'!I57+'gim 10'!I57+'gim 14'!I57+#REF!+'gim 19'!I57+'gim Cuza'!I57</f>
        <v>#REF!</v>
      </c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 t="e">
        <f>'gim 2'!D58+'gim 3'!D58+#REF!+'gim 6'!D58+'gim 7'!D58+'gim 9'!D58+'gim 10'!D58+'gim 14'!D58+#REF!+'gim 19'!D58+'gim Cuza'!D58</f>
        <v>#REF!</v>
      </c>
      <c r="E58" s="17" t="e">
        <f>'gim 2'!E58+'gim 3'!E58+#REF!+'gim 6'!E58+'gim 7'!E58+'gim 9'!E58+'gim 10'!E58+'gim 14'!E58+#REF!+'gim 19'!E58+'gim Cuza'!E58</f>
        <v>#REF!</v>
      </c>
      <c r="F58" s="17" t="e">
        <f>'gim 2'!F58+'gim 3'!F58+#REF!+'gim 6'!F58+'gim 7'!F58+'gim 9'!F58+'gim 10'!F58+'gim 14'!F58+#REF!+'gim 19'!F58+'gim Cuza'!F58</f>
        <v>#REF!</v>
      </c>
      <c r="G58" s="17" t="e">
        <f>'gim 2'!G58+'gim 3'!G58+#REF!+'gim 6'!G58+'gim 7'!G58+'gim 9'!G58+'gim 10'!G58+'gim 14'!G58+#REF!+'gim 19'!G58+'gim Cuza'!G58</f>
        <v>#REF!</v>
      </c>
      <c r="H58" s="17" t="e">
        <f>'gim 2'!H58+'gim 3'!H58+#REF!+'gim 6'!H58+'gim 7'!H58+'gim 9'!H58+'gim 10'!H58+'gim 14'!H58+#REF!+'gim 19'!H58+'gim Cuza'!H58</f>
        <v>#REF!</v>
      </c>
      <c r="I58" s="17" t="e">
        <f>'gim 2'!I58+'gim 3'!I58+#REF!+'gim 6'!I58+'gim 7'!I58+'gim 9'!I58+'gim 10'!I58+'gim 14'!I58+#REF!+'gim 19'!I58+'gim Cuza'!I58</f>
        <v>#REF!</v>
      </c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 t="e">
        <f>'gim 2'!D59+'gim 3'!D59+#REF!+'gim 6'!D59+'gim 7'!D59+'gim 9'!D59+'gim 10'!D59+'gim 14'!D59+#REF!+'gim 19'!D59+'gim Cuza'!D59</f>
        <v>#REF!</v>
      </c>
      <c r="E59" s="17" t="e">
        <f>'gim 2'!E59+'gim 3'!E59+#REF!+'gim 6'!E59+'gim 7'!E59+'gim 9'!E59+'gim 10'!E59+'gim 14'!E59+#REF!+'gim 19'!E59+'gim Cuza'!E59</f>
        <v>#REF!</v>
      </c>
      <c r="F59" s="17" t="e">
        <f>'gim 2'!F59+'gim 3'!F59+#REF!+'gim 6'!F59+'gim 7'!F59+'gim 9'!F59+'gim 10'!F59+'gim 14'!F59+#REF!+'gim 19'!F59+'gim Cuza'!F59</f>
        <v>#REF!</v>
      </c>
      <c r="G59" s="17" t="e">
        <f>'gim 2'!G59+'gim 3'!G59+#REF!+'gim 6'!G59+'gim 7'!G59+'gim 9'!G59+'gim 10'!G59+'gim 14'!G59+#REF!+'gim 19'!G59+'gim Cuza'!G59</f>
        <v>#REF!</v>
      </c>
      <c r="H59" s="17" t="e">
        <f>'gim 2'!H59+'gim 3'!H59+#REF!+'gim 6'!H59+'gim 7'!H59+'gim 9'!H59+'gim 10'!H59+'gim 14'!H59+#REF!+'gim 19'!H59+'gim Cuza'!H59</f>
        <v>#REF!</v>
      </c>
      <c r="I59" s="17" t="e">
        <f>'gim 2'!I59+'gim 3'!I59+#REF!+'gim 6'!I59+'gim 7'!I59+'gim 9'!I59+'gim 10'!I59+'gim 14'!I59+#REF!+'gim 19'!I59+'gim Cuza'!I59</f>
        <v>#REF!</v>
      </c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 t="e">
        <f>'gim 2'!D64+'gim 3'!D64+#REF!+'gim 6'!D64+'gim 7'!D64+'gim 9'!D64+'gim 10'!D64+'gim 14'!D64+#REF!+'gim 19'!D64+'gim Cuza'!D64</f>
        <v>#REF!</v>
      </c>
      <c r="E64" s="29" t="e">
        <f>'gim 2'!E64+'gim 3'!E64+#REF!+'gim 6'!E64+'gim 7'!E64+'gim 9'!E64+'gim 10'!E64+'gim 14'!E64+#REF!+'gim 19'!E64+'gim Cuza'!E64</f>
        <v>#REF!</v>
      </c>
      <c r="F64" s="29" t="e">
        <f>'gim 2'!F64+'gim 3'!F64+#REF!+'gim 6'!F64+'gim 7'!F64+'gim 9'!F64+'gim 10'!F64+'gim 14'!F64+#REF!+'gim 19'!F64+'gim Cuza'!F64</f>
        <v>#REF!</v>
      </c>
      <c r="G64" s="29" t="e">
        <f>'gim 2'!G64+'gim 3'!G64+#REF!+'gim 6'!G64+'gim 7'!G64+'gim 9'!G64+'gim 10'!G64+'gim 14'!G64+#REF!+'gim 19'!G64+'gim Cuza'!G64</f>
        <v>#REF!</v>
      </c>
      <c r="H64" s="29" t="e">
        <f>'gim 2'!H64+'gim 3'!H64+#REF!+'gim 6'!H64+'gim 7'!H64+'gim 9'!H64+'gim 10'!H64+'gim 14'!H64+#REF!+'gim 19'!H64+'gim Cuza'!H64</f>
        <v>#REF!</v>
      </c>
      <c r="I64" s="29" t="e">
        <f>'gim 2'!I64+'gim 3'!I64+#REF!+'gim 6'!I64+'gim 7'!I64+'gim 9'!I64+'gim 10'!I64+'gim 14'!I64+#REF!+'gim 19'!I64+'gim Cuza'!I64</f>
        <v>#REF!</v>
      </c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 t="e">
        <f>'gim 2'!D65+'gim 3'!D65+#REF!+'gim 6'!D65+'gim 7'!D65+'gim 9'!D65+'gim 10'!D65+'gim 14'!D65+#REF!+'gim 19'!D65+'gim Cuza'!D65</f>
        <v>#REF!</v>
      </c>
      <c r="E65" s="17" t="e">
        <f>'gim 2'!E65+'gim 3'!E65+#REF!+'gim 6'!E65+'gim 7'!E65+'gim 9'!E65+'gim 10'!E65+'gim 14'!E65+#REF!+'gim 19'!E65+'gim Cuza'!E65</f>
        <v>#REF!</v>
      </c>
      <c r="F65" s="17" t="e">
        <f>'gim 2'!F65+'gim 3'!F65+#REF!+'gim 6'!F65+'gim 7'!F65+'gim 9'!F65+'gim 10'!F65+'gim 14'!F65+#REF!+'gim 19'!F65+'gim Cuza'!F65</f>
        <v>#REF!</v>
      </c>
      <c r="G65" s="17" t="e">
        <f>'gim 2'!G65+'gim 3'!G65+#REF!+'gim 6'!G65+'gim 7'!G65+'gim 9'!G65+'gim 10'!G65+'gim 14'!G65+#REF!+'gim 19'!G65+'gim Cuza'!G65</f>
        <v>#REF!</v>
      </c>
      <c r="H65" s="17" t="e">
        <f>'gim 2'!H65+'gim 3'!H65+#REF!+'gim 6'!H65+'gim 7'!H65+'gim 9'!H65+'gim 10'!H65+'gim 14'!H65+#REF!+'gim 19'!H65+'gim Cuza'!H65</f>
        <v>#REF!</v>
      </c>
      <c r="I65" s="17" t="e">
        <f>'gim 2'!I65+'gim 3'!I65+#REF!+'gim 6'!I65+'gim 7'!I65+'gim 9'!I65+'gim 10'!I65+'gim 14'!I65+#REF!+'gim 19'!I65+'gim Cuza'!I65</f>
        <v>#REF!</v>
      </c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 t="e">
        <f>'gim 2'!D66+'gim 3'!D66+#REF!+'gim 6'!D66+'gim 7'!D66+'gim 9'!D66+'gim 10'!D66+'gim 14'!D66+#REF!+'gim 19'!D66+'gim Cuza'!D66</f>
        <v>#REF!</v>
      </c>
      <c r="E66" s="17" t="e">
        <f>'gim 2'!E66+'gim 3'!E66+#REF!+'gim 6'!E66+'gim 7'!E66+'gim 9'!E66+'gim 10'!E66+'gim 14'!E66+#REF!+'gim 19'!E66+'gim Cuza'!E66</f>
        <v>#REF!</v>
      </c>
      <c r="F66" s="17" t="e">
        <f>'gim 2'!F66+'gim 3'!F66+#REF!+'gim 6'!F66+'gim 7'!F66+'gim 9'!F66+'gim 10'!F66+'gim 14'!F66+#REF!+'gim 19'!F66+'gim Cuza'!F66</f>
        <v>#REF!</v>
      </c>
      <c r="G66" s="17" t="e">
        <f>'gim 2'!G66+'gim 3'!G66+#REF!+'gim 6'!G66+'gim 7'!G66+'gim 9'!G66+'gim 10'!G66+'gim 14'!G66+#REF!+'gim 19'!G66+'gim Cuza'!G66</f>
        <v>#REF!</v>
      </c>
      <c r="H66" s="17" t="e">
        <f>'gim 2'!H66+'gim 3'!H66+#REF!+'gim 6'!H66+'gim 7'!H66+'gim 9'!H66+'gim 10'!H66+'gim 14'!H66+#REF!+'gim 19'!H66+'gim Cuza'!H66</f>
        <v>#REF!</v>
      </c>
      <c r="I66" s="17" t="e">
        <f>'gim 2'!I66+'gim 3'!I66+#REF!+'gim 6'!I66+'gim 7'!I66+'gim 9'!I66+'gim 10'!I66+'gim 14'!I66+#REF!+'gim 19'!I66+'gim Cuza'!I66</f>
        <v>#REF!</v>
      </c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 t="e">
        <f>'gim 2'!D67+'gim 3'!D67+#REF!+'gim 6'!D67+'gim 7'!D67+'gim 9'!D67+'gim 10'!D67+'gim 14'!D67+#REF!+'gim 19'!D67+'gim Cuza'!D67</f>
        <v>#REF!</v>
      </c>
      <c r="E67" s="17" t="e">
        <f>'gim 2'!E67+'gim 3'!E67+#REF!+'gim 6'!E67+'gim 7'!E67+'gim 9'!E67+'gim 10'!E67+'gim 14'!E67+#REF!+'gim 19'!E67+'gim Cuza'!E67</f>
        <v>#REF!</v>
      </c>
      <c r="F67" s="17" t="e">
        <f>'gim 2'!F67+'gim 3'!F67+#REF!+'gim 6'!F67+'gim 7'!F67+'gim 9'!F67+'gim 10'!F67+'gim 14'!F67+#REF!+'gim 19'!F67+'gim Cuza'!F67</f>
        <v>#REF!</v>
      </c>
      <c r="G67" s="17" t="e">
        <f>'gim 2'!G67+'gim 3'!G67+#REF!+'gim 6'!G67+'gim 7'!G67+'gim 9'!G67+'gim 10'!G67+'gim 14'!G67+#REF!+'gim 19'!G67+'gim Cuza'!G67</f>
        <v>#REF!</v>
      </c>
      <c r="H67" s="17" t="e">
        <f>'gim 2'!H67+'gim 3'!H67+#REF!+'gim 6'!H67+'gim 7'!H67+'gim 9'!H67+'gim 10'!H67+'gim 14'!H67+#REF!+'gim 19'!H67+'gim Cuza'!H67</f>
        <v>#REF!</v>
      </c>
      <c r="I67" s="17" t="e">
        <f>'gim 2'!I67+'gim 3'!I67+#REF!+'gim 6'!I67+'gim 7'!I67+'gim 9'!I67+'gim 10'!I67+'gim 14'!I67+#REF!+'gim 19'!I67+'gim Cuza'!I67</f>
        <v>#REF!</v>
      </c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 t="e">
        <f>'gim 2'!D68+'gim 3'!D68+#REF!+'gim 6'!D68+'gim 7'!D68+'gim 9'!D68+'gim 10'!D68+'gim 14'!D68+#REF!+'gim 19'!D68+'gim Cuza'!D68</f>
        <v>#REF!</v>
      </c>
      <c r="E68" s="29" t="e">
        <f>'gim 2'!E68+'gim 3'!E68+#REF!+'gim 6'!E68+'gim 7'!E68+'gim 9'!E68+'gim 10'!E68+'gim 14'!E68+#REF!+'gim 19'!E68+'gim Cuza'!E68</f>
        <v>#REF!</v>
      </c>
      <c r="F68" s="29" t="e">
        <f>'gim 2'!F68+'gim 3'!F68+#REF!+'gim 6'!F68+'gim 7'!F68+'gim 9'!F68+'gim 10'!F68+'gim 14'!F68+#REF!+'gim 19'!F68+'gim Cuza'!F68</f>
        <v>#REF!</v>
      </c>
      <c r="G68" s="29" t="e">
        <f>'gim 2'!G68+'gim 3'!G68+#REF!+'gim 6'!G68+'gim 7'!G68+'gim 9'!G68+'gim 10'!G68+'gim 14'!G68+#REF!+'gim 19'!G68+'gim Cuza'!G68</f>
        <v>#REF!</v>
      </c>
      <c r="H68" s="29" t="e">
        <f>'gim 2'!H68+'gim 3'!H68+#REF!+'gim 6'!H68+'gim 7'!H68+'gim 9'!H68+'gim 10'!H68+'gim 14'!H68+#REF!+'gim 19'!H68+'gim Cuza'!H68</f>
        <v>#REF!</v>
      </c>
      <c r="I68" s="29" t="e">
        <f>'gim 2'!I68+'gim 3'!I68+#REF!+'gim 6'!I68+'gim 7'!I68+'gim 9'!I68+'gim 10'!I68+'gim 14'!I68+#REF!+'gim 19'!I68+'gim Cuza'!I68</f>
        <v>#REF!</v>
      </c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 t="e">
        <f>'gim 2'!D69+'gim 3'!D69+#REF!+'gim 6'!D69+'gim 7'!D69+'gim 9'!D69+'gim 10'!D69+'gim 14'!D69+#REF!+'gim 19'!D69+'gim Cuza'!D69</f>
        <v>#REF!</v>
      </c>
      <c r="E69" s="17" t="e">
        <f>'gim 2'!E69+'gim 3'!E69+#REF!+'gim 6'!E69+'gim 7'!E69+'gim 9'!E69+'gim 10'!E69+'gim 14'!E69+#REF!+'gim 19'!E69+'gim Cuza'!E69</f>
        <v>#REF!</v>
      </c>
      <c r="F69" s="17" t="e">
        <f>'gim 2'!F69+'gim 3'!F69+#REF!+'gim 6'!F69+'gim 7'!F69+'gim 9'!F69+'gim 10'!F69+'gim 14'!F69+#REF!+'gim 19'!F69+'gim Cuza'!F69</f>
        <v>#REF!</v>
      </c>
      <c r="G69" s="17" t="e">
        <f>'gim 2'!G69+'gim 3'!G69+#REF!+'gim 6'!G69+'gim 7'!G69+'gim 9'!G69+'gim 10'!G69+'gim 14'!G69+#REF!+'gim 19'!G69+'gim Cuza'!G69</f>
        <v>#REF!</v>
      </c>
      <c r="H69" s="17" t="e">
        <f>'gim 2'!H69+'gim 3'!H69+#REF!+'gim 6'!H69+'gim 7'!H69+'gim 9'!H69+'gim 10'!H69+'gim 14'!H69+#REF!+'gim 19'!H69+'gim Cuza'!H69</f>
        <v>#REF!</v>
      </c>
      <c r="I69" s="17" t="e">
        <f>'gim 2'!I69+'gim 3'!I69+#REF!+'gim 6'!I69+'gim 7'!I69+'gim 9'!I69+'gim 10'!I69+'gim 14'!I69+#REF!+'gim 19'!I69+'gim Cuza'!I69</f>
        <v>#REF!</v>
      </c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 t="e">
        <f>'gim 2'!D70+'gim 3'!D70+#REF!+'gim 6'!D70+'gim 7'!D70+'gim 9'!D70+'gim 10'!D70+'gim 14'!D70+#REF!+'gim 19'!D70+'gim Cuza'!D70</f>
        <v>#REF!</v>
      </c>
      <c r="E70" s="17" t="e">
        <f>'gim 2'!E70+'gim 3'!E70+#REF!+'gim 6'!E70+'gim 7'!E70+'gim 9'!E70+'gim 10'!E70+'gim 14'!E70+#REF!+'gim 19'!E70+'gim Cuza'!E70</f>
        <v>#REF!</v>
      </c>
      <c r="F70" s="17" t="e">
        <f>'gim 2'!F70+'gim 3'!F70+#REF!+'gim 6'!F70+'gim 7'!F70+'gim 9'!F70+'gim 10'!F70+'gim 14'!F70+#REF!+'gim 19'!F70+'gim Cuza'!F70</f>
        <v>#REF!</v>
      </c>
      <c r="G70" s="17" t="e">
        <f>'gim 2'!G70+'gim 3'!G70+#REF!+'gim 6'!G70+'gim 7'!G70+'gim 9'!G70+'gim 10'!G70+'gim 14'!G70+#REF!+'gim 19'!G70+'gim Cuza'!G70</f>
        <v>#REF!</v>
      </c>
      <c r="H70" s="17" t="e">
        <f>'gim 2'!H70+'gim 3'!H70+#REF!+'gim 6'!H70+'gim 7'!H70+'gim 9'!H70+'gim 10'!H70+'gim 14'!H70+#REF!+'gim 19'!H70+'gim Cuza'!H70</f>
        <v>#REF!</v>
      </c>
      <c r="I70" s="17" t="e">
        <f>'gim 2'!I70+'gim 3'!I70+#REF!+'gim 6'!I70+'gim 7'!I70+'gim 9'!I70+'gim 10'!I70+'gim 14'!I70+#REF!+'gim 19'!I70+'gim Cuza'!I70</f>
        <v>#REF!</v>
      </c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 t="e">
        <f>'gim 2'!D71+'gim 3'!D71+#REF!+'gim 6'!D71+'gim 7'!D71+'gim 9'!D71+'gim 10'!D71+'gim 14'!D71+#REF!+'gim 19'!D71+'gim Cuza'!D71</f>
        <v>#REF!</v>
      </c>
      <c r="E71" s="17" t="e">
        <f>'gim 2'!E71+'gim 3'!E71+#REF!+'gim 6'!E71+'gim 7'!E71+'gim 9'!E71+'gim 10'!E71+'gim 14'!E71+#REF!+'gim 19'!E71+'gim Cuza'!E71</f>
        <v>#REF!</v>
      </c>
      <c r="F71" s="17" t="e">
        <f>'gim 2'!F71+'gim 3'!F71+#REF!+'gim 6'!F71+'gim 7'!F71+'gim 9'!F71+'gim 10'!F71+'gim 14'!F71+#REF!+'gim 19'!F71+'gim Cuza'!F71</f>
        <v>#REF!</v>
      </c>
      <c r="G71" s="17" t="e">
        <f>'gim 2'!G71+'gim 3'!G71+#REF!+'gim 6'!G71+'gim 7'!G71+'gim 9'!G71+'gim 10'!G71+'gim 14'!G71+#REF!+'gim 19'!G71+'gim Cuza'!G71</f>
        <v>#REF!</v>
      </c>
      <c r="H71" s="17" t="e">
        <f>'gim 2'!H71+'gim 3'!H71+#REF!+'gim 6'!H71+'gim 7'!H71+'gim 9'!H71+'gim 10'!H71+'gim 14'!H71+#REF!+'gim 19'!H71+'gim Cuza'!H71</f>
        <v>#REF!</v>
      </c>
      <c r="I71" s="17" t="e">
        <f>'gim 2'!I71+'gim 3'!I71+#REF!+'gim 6'!I71+'gim 7'!I71+'gim 9'!I71+'gim 10'!I71+'gim 14'!I71+#REF!+'gim 19'!I71+'gim Cuza'!I71</f>
        <v>#REF!</v>
      </c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 t="e">
        <f>'gim 2'!D72+'gim 3'!D72+#REF!+'gim 6'!D72+'gim 7'!D72+'gim 9'!D72+'gim 10'!D72+'gim 14'!D72+#REF!+'gim 19'!D72+'gim Cuza'!D72</f>
        <v>#REF!</v>
      </c>
      <c r="E72" s="17" t="e">
        <f>'gim 2'!E72+'gim 3'!E72+#REF!+'gim 6'!E72+'gim 7'!E72+'gim 9'!E72+'gim 10'!E72+'gim 14'!E72+#REF!+'gim 19'!E72+'gim Cuza'!E72</f>
        <v>#REF!</v>
      </c>
      <c r="F72" s="17" t="e">
        <f>'gim 2'!F72+'gim 3'!F72+#REF!+'gim 6'!F72+'gim 7'!F72+'gim 9'!F72+'gim 10'!F72+'gim 14'!F72+#REF!+'gim 19'!F72+'gim Cuza'!F72</f>
        <v>#REF!</v>
      </c>
      <c r="G72" s="17" t="e">
        <f>'gim 2'!G72+'gim 3'!G72+#REF!+'gim 6'!G72+'gim 7'!G72+'gim 9'!G72+'gim 10'!G72+'gim 14'!G72+#REF!+'gim 19'!G72+'gim Cuza'!G72</f>
        <v>#REF!</v>
      </c>
      <c r="H72" s="17" t="e">
        <f>'gim 2'!H72+'gim 3'!H72+#REF!+'gim 6'!H72+'gim 7'!H72+'gim 9'!H72+'gim 10'!H72+'gim 14'!H72+#REF!+'gim 19'!H72+'gim Cuza'!H72</f>
        <v>#REF!</v>
      </c>
      <c r="I72" s="17" t="e">
        <f>'gim 2'!I72+'gim 3'!I72+#REF!+'gim 6'!I72+'gim 7'!I72+'gim 9'!I72+'gim 10'!I72+'gim 14'!I72+#REF!+'gim 19'!I72+'gim Cuza'!I72</f>
        <v>#REF!</v>
      </c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 t="e">
        <f>'gim 2'!D73+'gim 3'!D73+#REF!+'gim 6'!D73+'gim 7'!D73+'gim 9'!D73+'gim 10'!D73+'gim 14'!D73+#REF!+'gim 19'!D73+'gim Cuza'!D73</f>
        <v>#REF!</v>
      </c>
      <c r="E73" s="17" t="e">
        <f>'gim 2'!E73+'gim 3'!E73+#REF!+'gim 6'!E73+'gim 7'!E73+'gim 9'!E73+'gim 10'!E73+'gim 14'!E73+#REF!+'gim 19'!E73+'gim Cuza'!E73</f>
        <v>#REF!</v>
      </c>
      <c r="F73" s="17" t="e">
        <f>'gim 2'!F73+'gim 3'!F73+#REF!+'gim 6'!F73+'gim 7'!F73+'gim 9'!F73+'gim 10'!F73+'gim 14'!F73+#REF!+'gim 19'!F73+'gim Cuza'!F73</f>
        <v>#REF!</v>
      </c>
      <c r="G73" s="17" t="e">
        <f>'gim 2'!G73+'gim 3'!G73+#REF!+'gim 6'!G73+'gim 7'!G73+'gim 9'!G73+'gim 10'!G73+'gim 14'!G73+#REF!+'gim 19'!G73+'gim Cuza'!G73</f>
        <v>#REF!</v>
      </c>
      <c r="H73" s="17" t="e">
        <f>'gim 2'!H73+'gim 3'!H73+#REF!+'gim 6'!H73+'gim 7'!H73+'gim 9'!H73+'gim 10'!H73+'gim 14'!H73+#REF!+'gim 19'!H73+'gim Cuza'!H73</f>
        <v>#REF!</v>
      </c>
      <c r="I73" s="17" t="e">
        <f>'gim 2'!I73+'gim 3'!I73+#REF!+'gim 6'!I73+'gim 7'!I73+'gim 9'!I73+'gim 10'!I73+'gim 14'!I73+#REF!+'gim 19'!I73+'gim Cuza'!I73</f>
        <v>#REF!</v>
      </c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 t="e">
        <f>'gim 2'!D74+'gim 3'!D74+#REF!+'gim 6'!D74+'gim 7'!D74+'gim 9'!D74+'gim 10'!D74+'gim 14'!D74+#REF!+'gim 19'!D74+'gim Cuza'!D74</f>
        <v>#REF!</v>
      </c>
      <c r="E74" s="17" t="e">
        <f>'gim 2'!E74+'gim 3'!E74+#REF!+'gim 6'!E74+'gim 7'!E74+'gim 9'!E74+'gim 10'!E74+'gim 14'!E74+#REF!+'gim 19'!E74+'gim Cuza'!E74</f>
        <v>#REF!</v>
      </c>
      <c r="F74" s="17" t="e">
        <f>'gim 2'!F74+'gim 3'!F74+#REF!+'gim 6'!F74+'gim 7'!F74+'gim 9'!F74+'gim 10'!F74+'gim 14'!F74+#REF!+'gim 19'!F74+'gim Cuza'!F74</f>
        <v>#REF!</v>
      </c>
      <c r="G74" s="17" t="e">
        <f>'gim 2'!G74+'gim 3'!G74+#REF!+'gim 6'!G74+'gim 7'!G74+'gim 9'!G74+'gim 10'!G74+'gim 14'!G74+#REF!+'gim 19'!G74+'gim Cuza'!G74</f>
        <v>#REF!</v>
      </c>
      <c r="H74" s="17" t="e">
        <f>'gim 2'!H74+'gim 3'!H74+#REF!+'gim 6'!H74+'gim 7'!H74+'gim 9'!H74+'gim 10'!H74+'gim 14'!H74+#REF!+'gim 19'!H74+'gim Cuza'!H74</f>
        <v>#REF!</v>
      </c>
      <c r="I74" s="17" t="e">
        <f>'gim 2'!I74+'gim 3'!I74+#REF!+'gim 6'!I74+'gim 7'!I74+'gim 9'!I74+'gim 10'!I74+'gim 14'!I74+#REF!+'gim 19'!I74+'gim Cuza'!I74</f>
        <v>#REF!</v>
      </c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 t="e">
        <f>'gim 2'!F75+'gim 3'!F75+#REF!+'gim 6'!F75+'gim 7'!F75+'gim 9'!F75+'gim 10'!F75+'gim 14'!F75+#REF!+'gim 19'!F75+'gim Cuza'!F75</f>
        <v>#REF!</v>
      </c>
      <c r="G75" s="29" t="e">
        <f>'gim 2'!G75+'gim 3'!G75+#REF!+'gim 6'!G75+'gim 7'!G75+'gim 9'!G75+'gim 10'!G75+'gim 14'!G75+#REF!+'gim 19'!G75+'gim Cuza'!G75</f>
        <v>#REF!</v>
      </c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 t="e">
        <f>'gim 2'!F76+'gim 3'!F76+#REF!+'gim 6'!F76+'gim 7'!F76+'gim 9'!F76+'gim 10'!F76+'gim 14'!F76+#REF!+'gim 19'!F76+'gim Cuza'!F76</f>
        <v>#REF!</v>
      </c>
      <c r="G76" s="17" t="e">
        <f>'gim 2'!G76+'gim 3'!G76+#REF!+'gim 6'!G76+'gim 7'!G76+'gim 9'!G76+'gim 10'!G76+'gim 14'!G76+#REF!+'gim 19'!G76+'gim Cuza'!G76</f>
        <v>#REF!</v>
      </c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 t="e">
        <f>'gim 2'!F77+'gim 3'!F77+#REF!+'gim 6'!F77+'gim 7'!F77+'gim 9'!F77+'gim 10'!F77+'gim 14'!F77+#REF!+'gim 19'!F77+'gim Cuza'!F77</f>
        <v>#REF!</v>
      </c>
      <c r="G77" s="17" t="e">
        <f>'gim 2'!G77+'gim 3'!G77+#REF!+'gim 6'!G77+'gim 7'!G77+'gim 9'!G77+'gim 10'!G77+'gim 14'!G77+#REF!+'gim 19'!G77+'gim Cuza'!G77</f>
        <v>#REF!</v>
      </c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 t="e">
        <f>'gim 2'!F78+'gim 3'!F78+#REF!+'gim 6'!F78+'gim 7'!F78+'gim 9'!F78+'gim 10'!F78+'gim 14'!F78+#REF!+'gim 19'!F78+'gim Cuza'!F78</f>
        <v>#REF!</v>
      </c>
      <c r="G78" s="17" t="e">
        <f>'gim 2'!G78+'gim 3'!G78+#REF!+'gim 6'!G78+'gim 7'!G78+'gim 9'!G78+'gim 10'!G78+'gim 14'!G78+#REF!+'gim 19'!G78+'gim Cuza'!G78</f>
        <v>#REF!</v>
      </c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 t="e">
        <f>'gim 2'!F79+'gim 3'!F79+#REF!+'gim 6'!F79+'gim 7'!F79+'gim 9'!F79+'gim 10'!F79+'gim 14'!F79+#REF!+'gim 19'!F79+'gim Cuza'!F79</f>
        <v>#REF!</v>
      </c>
      <c r="G79" s="17" t="e">
        <f>'gim 2'!G79+'gim 3'!G79+#REF!+'gim 6'!G79+'gim 7'!G79+'gim 9'!G79+'gim 10'!G79+'gim 14'!G79+#REF!+'gim 19'!G79+'gim Cuza'!G79</f>
        <v>#REF!</v>
      </c>
      <c r="H79" s="17" t="s">
        <v>12</v>
      </c>
      <c r="I79" s="17" t="s">
        <v>12</v>
      </c>
    </row>
    <row r="80" spans="1:9" s="10" customFormat="1" ht="25.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 t="e">
        <f>'gim 2'!F80+'gim 3'!F80+#REF!+'gim 6'!F80+'gim 7'!F80+'gim 9'!F80+'gim 10'!F80+'gim 14'!F80+#REF!+'gim 19'!F80+'gim Cuza'!F80</f>
        <v>#REF!</v>
      </c>
      <c r="G80" s="17" t="e">
        <f>'gim 2'!G80+'gim 3'!G80+#REF!+'gim 6'!G80+'gim 7'!G80+'gim 9'!G80+'gim 10'!G80+'gim 14'!G80+#REF!+'gim 19'!G80+'gim Cuza'!G80</f>
        <v>#REF!</v>
      </c>
      <c r="H80" s="17" t="s">
        <v>12</v>
      </c>
      <c r="I80" s="17" t="s">
        <v>12</v>
      </c>
    </row>
    <row r="81" spans="1:9" s="10" customFormat="1" ht="25.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 t="e">
        <f>'gim 2'!F81+'gim 3'!F81+#REF!+'gim 6'!F81+'gim 7'!F81+'gim 9'!F81+'gim 10'!F81+'gim 14'!F81+#REF!+'gim 19'!F81+'gim Cuza'!F81</f>
        <v>#REF!</v>
      </c>
      <c r="G81" s="17" t="e">
        <f>'gim 2'!G81+'gim 3'!G81+#REF!+'gim 6'!G81+'gim 7'!G81+'gim 9'!G81+'gim 10'!G81+'gim 14'!G81+#REF!+'gim 19'!G81+'gim Cuza'!G81</f>
        <v>#REF!</v>
      </c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 t="e">
        <f>'gim 2'!F82+'gim 3'!F82+#REF!+'gim 6'!F82+'gim 7'!F82+'gim 9'!F82+'gim 10'!F82+'gim 14'!F82+#REF!+'gim 19'!F82+'gim Cuza'!F82</f>
        <v>#REF!</v>
      </c>
      <c r="G82" s="29" t="e">
        <f>'gim 2'!G82+'gim 3'!G82+#REF!+'gim 6'!G82+'gim 7'!G82+'gim 9'!G82+'gim 10'!G82+'gim 14'!G82+#REF!+'gim 19'!G82+'gim Cuza'!G82</f>
        <v>#REF!</v>
      </c>
      <c r="H82" s="29" t="s">
        <v>12</v>
      </c>
      <c r="I82" s="29" t="s">
        <v>12</v>
      </c>
    </row>
    <row r="83" spans="1:9" s="10" customFormat="1" ht="35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 t="e">
        <f>'gim 2'!F83+'gim 3'!F83+#REF!+'gim 6'!F83+'gim 7'!F83+'gim 9'!F83+'gim 10'!F83+'gim 14'!F83+#REF!+'gim 19'!F83+'gim Cuza'!F83</f>
        <v>#REF!</v>
      </c>
      <c r="G83" s="17" t="e">
        <f>'gim 2'!G83+'gim 3'!G83+#REF!+'gim 6'!G83+'gim 7'!G83+'gim 9'!G83+'gim 10'!G83+'gim 14'!G83+#REF!+'gim 19'!G83+'gim Cuza'!G83</f>
        <v>#REF!</v>
      </c>
      <c r="H83" s="17" t="s">
        <v>12</v>
      </c>
      <c r="I83" s="17" t="s">
        <v>12</v>
      </c>
    </row>
    <row r="84" spans="1:9" s="10" customFormat="1" ht="36.7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 t="e">
        <f>'gim 2'!F84+'gim 3'!F84+#REF!+'gim 6'!F84+'gim 7'!F84+'gim 9'!F84+'gim 10'!F84+'gim 14'!F84+#REF!+'gim 19'!F84+'gim Cuza'!F84</f>
        <v>#REF!</v>
      </c>
      <c r="G84" s="17" t="e">
        <f>'gim 2'!G84+'gim 3'!G84+#REF!+'gim 6'!G84+'gim 7'!G84+'gim 9'!G84+'gim 10'!G84+'gim 14'!G84+#REF!+'gim 19'!G84+'gim Cuza'!G84</f>
        <v>#REF!</v>
      </c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 t="e">
        <f>'gim 2'!F85+'gim 3'!F85+#REF!+'gim 6'!F85+'gim 7'!F85+'gim 9'!F85+'gim 10'!F85+'gim 14'!F85+#REF!+'gim 19'!F85+'gim Cuza'!F85</f>
        <v>#REF!</v>
      </c>
      <c r="G85" s="17" t="e">
        <f>'gim 2'!G85+'gim 3'!G85+#REF!+'gim 6'!G85+'gim 7'!G85+'gim 9'!G85+'gim 10'!G85+'gim 14'!G85+#REF!+'gim 19'!G85+'gim Cuza'!G85</f>
        <v>#REF!</v>
      </c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 t="e">
        <f>'gim 2'!F86+'gim 3'!F86+#REF!+'gim 6'!F86+'gim 7'!F86+'gim 9'!F86+'gim 10'!F86+'gim 14'!F86+#REF!+'gim 19'!F86+'gim Cuza'!F86</f>
        <v>#REF!</v>
      </c>
      <c r="G86" s="17" t="e">
        <f>'gim 2'!G86+'gim 3'!G86+#REF!+'gim 6'!G86+'gim 7'!G86+'gim 9'!G86+'gim 10'!G86+'gim 14'!G86+#REF!+'gim 19'!G86+'gim Cuza'!G86</f>
        <v>#REF!</v>
      </c>
      <c r="H86" s="17" t="s">
        <v>12</v>
      </c>
      <c r="I86" s="17" t="s">
        <v>12</v>
      </c>
    </row>
    <row r="87" spans="1:9" s="10" customFormat="1" ht="28.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 t="e">
        <f>'gim 2'!F87+'gim 3'!F87+#REF!+'gim 6'!F87+'gim 7'!F87+'gim 9'!F87+'gim 10'!F87+'gim 14'!F87+#REF!+'gim 19'!F87+'gim Cuza'!F87</f>
        <v>#REF!</v>
      </c>
      <c r="G87" s="17" t="e">
        <f>'gim 2'!G87+'gim 3'!G87+#REF!+'gim 6'!G87+'gim 7'!G87+'gim 9'!G87+'gim 10'!G87+'gim 14'!G87+#REF!+'gim 19'!G87+'gim Cuza'!G87</f>
        <v>#REF!</v>
      </c>
      <c r="H87" s="17" t="s">
        <v>12</v>
      </c>
      <c r="I87" s="17" t="s">
        <v>12</v>
      </c>
    </row>
    <row r="88" spans="1:9" s="10" customFormat="1" ht="27.7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 t="e">
        <f>'gim 2'!F88+'gim 3'!F88+#REF!+'gim 6'!F88+'gim 7'!F88+'gim 9'!F88+'gim 10'!F88+'gim 14'!F88+#REF!+'gim 19'!F88+'gim Cuza'!F88</f>
        <v>#REF!</v>
      </c>
      <c r="G88" s="17" t="e">
        <f>'gim 2'!G88+'gim 3'!G88+#REF!+'gim 6'!G88+'gim 7'!G88+'gim 9'!G88+'gim 10'!G88+'gim 14'!G88+#REF!+'gim 19'!G88+'gim Cuza'!G88</f>
        <v>#REF!</v>
      </c>
      <c r="H88" s="17" t="s">
        <v>12</v>
      </c>
      <c r="I88" s="17" t="s">
        <v>12</v>
      </c>
    </row>
    <row r="89" spans="1:9" s="10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f>'gim 2'!F89+'gim 3'!F89+'gim 6'!F89+'gim 7'!F89+'gim 9'!F89+'gim 10'!F89+'gim 14'!F89+'gim 19'!F89+'gim Cuza'!F89</f>
        <v>664000</v>
      </c>
      <c r="G89" s="94">
        <f>'gim 2'!G89+'gim 3'!G89+'gim 6'!G89+'gim 7'!G89+'gim 9'!G89+'gim 10'!G89+'gim 14'!G89+'gim 19'!G89+'gim Cuza'!G89</f>
        <v>640000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166</v>
      </c>
      <c r="G91">
        <f>G89/4000</f>
        <v>160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2:U103"/>
  <sheetViews>
    <sheetView topLeftCell="B4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1.28515625" customWidth="1"/>
  </cols>
  <sheetData>
    <row r="2" spans="1:16" ht="21.75" customHeight="1">
      <c r="H2" t="s">
        <v>186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72</v>
      </c>
      <c r="K8" s="58" t="s">
        <v>66</v>
      </c>
      <c r="L8" s="58" t="s">
        <v>67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7.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16</v>
      </c>
      <c r="E37" s="91">
        <f>E38+E39</f>
        <v>16</v>
      </c>
      <c r="F37" s="29" t="s">
        <v>12</v>
      </c>
      <c r="G37" s="29" t="s">
        <v>12</v>
      </c>
      <c r="H37" s="91">
        <f t="shared" ref="H37" si="11">H38+H39</f>
        <v>16</v>
      </c>
      <c r="I37" s="91">
        <f>I38+I39</f>
        <v>16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2</v>
      </c>
      <c r="E38" s="82">
        <v>2</v>
      </c>
      <c r="F38" s="44" t="s">
        <v>12</v>
      </c>
      <c r="G38" s="44" t="s">
        <v>12</v>
      </c>
      <c r="H38" s="44">
        <f>D38</f>
        <v>2</v>
      </c>
      <c r="I38" s="82">
        <v>2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14</v>
      </c>
      <c r="E39" s="82">
        <v>14</v>
      </c>
      <c r="F39" s="44" t="s">
        <v>12</v>
      </c>
      <c r="G39" s="44" t="s">
        <v>12</v>
      </c>
      <c r="H39" s="86">
        <f>D39</f>
        <v>14</v>
      </c>
      <c r="I39" s="82">
        <v>14</v>
      </c>
      <c r="K39" s="9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64000</v>
      </c>
      <c r="G89" s="29">
        <v>64000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16</v>
      </c>
      <c r="G91">
        <f>G89/4000</f>
        <v>16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2:U103"/>
  <sheetViews>
    <sheetView topLeftCell="C4" zoomScale="87" zoomScaleNormal="87" workbookViewId="0">
      <selection activeCell="I40" sqref="I40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0" bestFit="1" customWidth="1"/>
    <col min="19" max="19" width="13.7109375" bestFit="1" customWidth="1"/>
    <col min="21" max="21" width="10" bestFit="1" customWidth="1"/>
  </cols>
  <sheetData>
    <row r="2" spans="1:16" ht="11.25" customHeight="1">
      <c r="H2" t="s">
        <v>181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65</v>
      </c>
      <c r="K8" s="58" t="s">
        <v>66</v>
      </c>
      <c r="L8" s="58" t="s">
        <v>67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6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36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23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15</v>
      </c>
      <c r="E37" s="91">
        <f>E38+E39</f>
        <v>17</v>
      </c>
      <c r="F37" s="29" t="s">
        <v>12</v>
      </c>
      <c r="G37" s="29" t="s">
        <v>12</v>
      </c>
      <c r="H37" s="91">
        <f t="shared" ref="H37" si="11">H38+H39</f>
        <v>15</v>
      </c>
      <c r="I37" s="91">
        <f>I38+I39</f>
        <v>14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3</v>
      </c>
      <c r="E38" s="82">
        <v>3</v>
      </c>
      <c r="F38" s="44" t="s">
        <v>12</v>
      </c>
      <c r="G38" s="44" t="s">
        <v>12</v>
      </c>
      <c r="H38" s="44">
        <f>D38</f>
        <v>3</v>
      </c>
      <c r="I38" s="82">
        <v>3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12</v>
      </c>
      <c r="E39" s="82">
        <v>14</v>
      </c>
      <c r="F39" s="44" t="s">
        <v>12</v>
      </c>
      <c r="G39" s="44" t="s">
        <v>12</v>
      </c>
      <c r="H39" s="86">
        <f>D39</f>
        <v>12</v>
      </c>
      <c r="I39" s="82">
        <v>11</v>
      </c>
      <c r="K39" s="9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/>
      <c r="G40" s="39"/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9"/>
      <c r="H43" s="44" t="s">
        <v>12</v>
      </c>
      <c r="I43" s="44" t="s">
        <v>12</v>
      </c>
      <c r="L43" s="55"/>
      <c r="O43" s="37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68000</v>
      </c>
      <c r="G89" s="93">
        <v>56000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17</v>
      </c>
      <c r="G91">
        <f>G89/4000</f>
        <v>14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2:U103"/>
  <sheetViews>
    <sheetView topLeftCell="B7" zoomScale="87" zoomScaleNormal="87" workbookViewId="0">
      <selection activeCell="I40" sqref="I40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19" max="19" width="13.7109375" bestFit="1" customWidth="1"/>
    <col min="21" max="21" width="12.42578125" bestFit="1" customWidth="1"/>
  </cols>
  <sheetData>
    <row r="2" spans="1:16" ht="11.25" customHeight="1">
      <c r="H2" t="s">
        <v>182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68</v>
      </c>
      <c r="K8" s="58" t="s">
        <v>66</v>
      </c>
      <c r="L8" s="58" t="s">
        <v>67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0" customFormat="1" ht="39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34.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13</v>
      </c>
      <c r="E37" s="91">
        <f>E38+E39</f>
        <v>16</v>
      </c>
      <c r="F37" s="29" t="s">
        <v>12</v>
      </c>
      <c r="G37" s="29" t="s">
        <v>12</v>
      </c>
      <c r="H37" s="91">
        <f t="shared" ref="H37" si="11">H38+H39</f>
        <v>13</v>
      </c>
      <c r="I37" s="91">
        <f>I38+I39</f>
        <v>14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2</v>
      </c>
      <c r="E38" s="82">
        <v>2</v>
      </c>
      <c r="F38" s="44" t="s">
        <v>12</v>
      </c>
      <c r="G38" s="44" t="s">
        <v>12</v>
      </c>
      <c r="H38" s="48">
        <f>D38</f>
        <v>2</v>
      </c>
      <c r="I38" s="82">
        <v>2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11</v>
      </c>
      <c r="E39" s="82">
        <v>14</v>
      </c>
      <c r="F39" s="44" t="s">
        <v>12</v>
      </c>
      <c r="G39" s="44" t="s">
        <v>12</v>
      </c>
      <c r="H39" s="87">
        <f>D39</f>
        <v>11</v>
      </c>
      <c r="I39" s="82">
        <v>12</v>
      </c>
      <c r="K39" s="9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/>
      <c r="G40" s="39"/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32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64000</v>
      </c>
      <c r="G89" s="93">
        <v>56000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16</v>
      </c>
      <c r="G91">
        <f>G89/4000</f>
        <v>14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2:U103"/>
  <sheetViews>
    <sheetView topLeftCell="D6" zoomScale="87" zoomScaleNormal="87" workbookViewId="0">
      <selection activeCell="I39" sqref="I3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1.140625" bestFit="1" customWidth="1"/>
  </cols>
  <sheetData>
    <row r="2" spans="1:16" ht="22.5" customHeight="1">
      <c r="H2" t="s">
        <v>183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9" t="s">
        <v>69</v>
      </c>
      <c r="K8" s="59" t="s">
        <v>66</v>
      </c>
      <c r="L8" s="59" t="s">
        <v>67</v>
      </c>
      <c r="M8" s="76" t="s">
        <v>174</v>
      </c>
      <c r="N8" s="59" t="s">
        <v>63</v>
      </c>
    </row>
    <row r="9" spans="1:16" s="10" customFormat="1" ht="33.75" customHeight="1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0" customFormat="1" ht="33.7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33.7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33.7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15</v>
      </c>
      <c r="E37" s="91">
        <f>E38+E39</f>
        <v>17</v>
      </c>
      <c r="F37" s="29" t="s">
        <v>12</v>
      </c>
      <c r="G37" s="29" t="s">
        <v>12</v>
      </c>
      <c r="H37" s="91">
        <f t="shared" ref="H37" si="11">H38+H39</f>
        <v>15</v>
      </c>
      <c r="I37" s="91">
        <f>I38+I39</f>
        <v>17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2</v>
      </c>
      <c r="E38" s="82">
        <v>2</v>
      </c>
      <c r="F38" s="44" t="s">
        <v>12</v>
      </c>
      <c r="G38" s="44" t="s">
        <v>12</v>
      </c>
      <c r="H38" s="44">
        <f>D38</f>
        <v>2</v>
      </c>
      <c r="I38" s="82">
        <v>2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13</v>
      </c>
      <c r="E39" s="82">
        <v>15</v>
      </c>
      <c r="F39" s="44" t="s">
        <v>12</v>
      </c>
      <c r="G39" s="44" t="s">
        <v>12</v>
      </c>
      <c r="H39" s="86">
        <f>D39</f>
        <v>13</v>
      </c>
      <c r="I39" s="82">
        <v>15</v>
      </c>
      <c r="K39" s="9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33.7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33.7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33.7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33.7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33.7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33.7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33.7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33.7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33.7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33.7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33.7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33.7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33.7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33.7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33.7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33.7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33.7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33.7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33.7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33.7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33.7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68000</v>
      </c>
      <c r="G89" s="93">
        <v>68000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17</v>
      </c>
      <c r="G91">
        <f>G89/4000</f>
        <v>17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2"/>
    </row>
    <row r="94" spans="1:9">
      <c r="A94" s="105"/>
      <c r="B94" s="105"/>
      <c r="C94" s="105"/>
      <c r="D94" s="105"/>
      <c r="E94" s="105"/>
      <c r="F94" s="105"/>
      <c r="G94" s="2"/>
    </row>
    <row r="95" spans="1:9">
      <c r="A95" s="2"/>
      <c r="B95" s="2"/>
      <c r="C95" s="105"/>
      <c r="D95" s="105"/>
      <c r="E95" s="105"/>
      <c r="F95" s="105"/>
      <c r="G95" s="2"/>
    </row>
    <row r="96" spans="1:9">
      <c r="A96" s="2"/>
      <c r="B96" s="2"/>
      <c r="C96" s="105"/>
      <c r="D96" s="105"/>
      <c r="E96" s="105"/>
      <c r="F96" s="105"/>
      <c r="G96" s="2"/>
    </row>
    <row r="97" spans="1:9" ht="21" customHeight="1">
      <c r="A97" s="2"/>
      <c r="B97" s="2"/>
      <c r="C97" s="105"/>
      <c r="D97" s="105"/>
      <c r="E97" s="105"/>
      <c r="F97" s="105"/>
      <c r="G97" s="2"/>
    </row>
    <row r="98" spans="1:9">
      <c r="A98" s="2"/>
      <c r="B98" s="2"/>
      <c r="C98" s="105"/>
      <c r="D98" s="105"/>
      <c r="E98" s="105"/>
      <c r="F98" s="105"/>
      <c r="G98" s="2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2"/>
      <c r="C101" s="2"/>
      <c r="D101" s="2"/>
      <c r="E101" s="2"/>
      <c r="F101" s="2"/>
      <c r="G101" s="2"/>
      <c r="H101" s="2"/>
      <c r="I101" s="2"/>
    </row>
    <row r="102" spans="1:9">
      <c r="A102" s="2"/>
      <c r="B102" s="2"/>
      <c r="C102" s="2"/>
      <c r="D102" s="2"/>
      <c r="E102" s="2"/>
      <c r="F102" s="2"/>
      <c r="G102" s="2"/>
      <c r="H102" s="2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0">
    <mergeCell ref="C98:D98"/>
    <mergeCell ref="E98:F98"/>
    <mergeCell ref="C95:D95"/>
    <mergeCell ref="E95:F95"/>
    <mergeCell ref="C96:D96"/>
    <mergeCell ref="E96:F96"/>
    <mergeCell ref="C97:D97"/>
    <mergeCell ref="E97:F97"/>
    <mergeCell ref="B92:I92"/>
    <mergeCell ref="A93:A94"/>
    <mergeCell ref="B93:B94"/>
    <mergeCell ref="C93:D93"/>
    <mergeCell ref="E93:F93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2:U103"/>
  <sheetViews>
    <sheetView topLeftCell="B2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</cols>
  <sheetData>
    <row r="2" spans="1:16" ht="19.5" customHeight="1">
      <c r="H2" t="s">
        <v>184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70</v>
      </c>
      <c r="K8" s="58" t="s">
        <v>66</v>
      </c>
      <c r="L8" s="58" t="s">
        <v>67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9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15</v>
      </c>
      <c r="E37" s="91">
        <f>E38+E39</f>
        <v>15</v>
      </c>
      <c r="F37" s="29" t="s">
        <v>12</v>
      </c>
      <c r="G37" s="29" t="s">
        <v>12</v>
      </c>
      <c r="H37" s="91">
        <f t="shared" ref="H37" si="11">H38+H39</f>
        <v>15</v>
      </c>
      <c r="I37" s="91">
        <f>I38+I39</f>
        <v>15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2</v>
      </c>
      <c r="E38" s="82">
        <v>2</v>
      </c>
      <c r="F38" s="44" t="s">
        <v>12</v>
      </c>
      <c r="G38" s="44" t="s">
        <v>12</v>
      </c>
      <c r="H38" s="44">
        <f>D38</f>
        <v>2</v>
      </c>
      <c r="I38" s="82">
        <v>2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13</v>
      </c>
      <c r="E39" s="82">
        <v>13</v>
      </c>
      <c r="F39" s="44" t="s">
        <v>12</v>
      </c>
      <c r="G39" s="44" t="s">
        <v>12</v>
      </c>
      <c r="H39" s="86">
        <f>D39</f>
        <v>13</v>
      </c>
      <c r="I39" s="82">
        <v>13</v>
      </c>
      <c r="K39" s="9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60000</v>
      </c>
      <c r="G89" s="93">
        <v>60000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15</v>
      </c>
      <c r="G91">
        <f>G89/4000</f>
        <v>15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2:U103"/>
  <sheetViews>
    <sheetView topLeftCell="B4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</cols>
  <sheetData>
    <row r="2" spans="1:16" ht="22.5" customHeight="1">
      <c r="H2" t="s">
        <v>185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71</v>
      </c>
      <c r="K8" s="58" t="s">
        <v>66</v>
      </c>
      <c r="L8" s="58" t="s">
        <v>67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4.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16</v>
      </c>
      <c r="E37" s="91">
        <f>E38+E39</f>
        <v>17</v>
      </c>
      <c r="F37" s="29" t="s">
        <v>12</v>
      </c>
      <c r="G37" s="29" t="s">
        <v>12</v>
      </c>
      <c r="H37" s="91">
        <f t="shared" ref="H37" si="11">H38+H39</f>
        <v>16</v>
      </c>
      <c r="I37" s="91">
        <f>I38+I39</f>
        <v>17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3</v>
      </c>
      <c r="E38" s="82">
        <v>3</v>
      </c>
      <c r="F38" s="44" t="s">
        <v>12</v>
      </c>
      <c r="G38" s="44" t="s">
        <v>12</v>
      </c>
      <c r="H38" s="44">
        <f>D38</f>
        <v>3</v>
      </c>
      <c r="I38" s="82">
        <v>3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13</v>
      </c>
      <c r="E39" s="82">
        <v>14</v>
      </c>
      <c r="F39" s="44" t="s">
        <v>12</v>
      </c>
      <c r="G39" s="44" t="s">
        <v>12</v>
      </c>
      <c r="H39" s="86">
        <f>D39</f>
        <v>13</v>
      </c>
      <c r="I39" s="82">
        <v>14</v>
      </c>
      <c r="K39" s="97"/>
    </row>
    <row r="40" spans="1:21" s="10" customFormat="1" ht="38.25" customHeight="1" thickBot="1">
      <c r="A40" s="26" t="s">
        <v>31</v>
      </c>
      <c r="B40" s="26">
        <v>500</v>
      </c>
      <c r="C40" s="72" t="s">
        <v>124</v>
      </c>
      <c r="D40" s="36" t="s">
        <v>12</v>
      </c>
      <c r="E40" s="36" t="s">
        <v>12</v>
      </c>
      <c r="F40" s="50">
        <f>F41+F45+F48</f>
        <v>0</v>
      </c>
      <c r="G40" s="50">
        <f>G41+G45+G48</f>
        <v>0</v>
      </c>
      <c r="H40" s="36" t="s">
        <v>12</v>
      </c>
      <c r="I40" s="36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68000</v>
      </c>
      <c r="G89" s="93">
        <v>68000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17</v>
      </c>
      <c r="G91">
        <f>G89/4000</f>
        <v>17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A2:U103"/>
  <sheetViews>
    <sheetView topLeftCell="B7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1.28515625" bestFit="1" customWidth="1"/>
  </cols>
  <sheetData>
    <row r="2" spans="1:16" ht="21.75" customHeight="1">
      <c r="H2" t="s">
        <v>187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73</v>
      </c>
      <c r="K8" s="58" t="s">
        <v>66</v>
      </c>
      <c r="L8" s="58" t="s">
        <v>67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6.7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20</v>
      </c>
      <c r="E37" s="91">
        <f>E38+E39</f>
        <v>21</v>
      </c>
      <c r="F37" s="29" t="s">
        <v>12</v>
      </c>
      <c r="G37" s="29" t="s">
        <v>12</v>
      </c>
      <c r="H37" s="91">
        <f t="shared" ref="H37" si="11">H38+H39</f>
        <v>20</v>
      </c>
      <c r="I37" s="91">
        <f>I38+I39</f>
        <v>21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2</v>
      </c>
      <c r="E38" s="82">
        <v>2</v>
      </c>
      <c r="F38" s="44" t="s">
        <v>12</v>
      </c>
      <c r="G38" s="44" t="s">
        <v>12</v>
      </c>
      <c r="H38" s="44">
        <f>D38</f>
        <v>2</v>
      </c>
      <c r="I38" s="82">
        <v>2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18</v>
      </c>
      <c r="E39" s="82">
        <v>19</v>
      </c>
      <c r="F39" s="44" t="s">
        <v>12</v>
      </c>
      <c r="G39" s="44" t="s">
        <v>12</v>
      </c>
      <c r="H39" s="86">
        <f>D39</f>
        <v>18</v>
      </c>
      <c r="I39" s="82">
        <v>19</v>
      </c>
      <c r="K39" s="9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84000</v>
      </c>
      <c r="G89" s="93">
        <v>84000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21</v>
      </c>
      <c r="G91">
        <f>G89/4000</f>
        <v>21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2:U103"/>
  <sheetViews>
    <sheetView topLeftCell="B9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1.28515625" bestFit="1" customWidth="1"/>
  </cols>
  <sheetData>
    <row r="2" spans="1:16" ht="23.25" customHeight="1">
      <c r="H2" t="s">
        <v>188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74</v>
      </c>
      <c r="K8" s="58" t="s">
        <v>66</v>
      </c>
      <c r="L8" s="58" t="s">
        <v>67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42.7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16</v>
      </c>
      <c r="E37" s="91">
        <f>E38+E39</f>
        <v>16</v>
      </c>
      <c r="F37" s="29" t="s">
        <v>12</v>
      </c>
      <c r="G37" s="29" t="s">
        <v>12</v>
      </c>
      <c r="H37" s="91">
        <f t="shared" ref="H37" si="11">H38+H39</f>
        <v>16</v>
      </c>
      <c r="I37" s="91">
        <f>I38+I39</f>
        <v>16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2</v>
      </c>
      <c r="E38" s="82">
        <v>2</v>
      </c>
      <c r="F38" s="44" t="s">
        <v>12</v>
      </c>
      <c r="G38" s="44" t="s">
        <v>12</v>
      </c>
      <c r="H38" s="44">
        <f>D38</f>
        <v>2</v>
      </c>
      <c r="I38" s="82">
        <v>2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14</v>
      </c>
      <c r="E39" s="82">
        <v>14</v>
      </c>
      <c r="F39" s="44" t="s">
        <v>12</v>
      </c>
      <c r="G39" s="44" t="s">
        <v>12</v>
      </c>
      <c r="H39" s="86">
        <f>D39</f>
        <v>14</v>
      </c>
      <c r="I39" s="82">
        <v>14</v>
      </c>
      <c r="K39" s="9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64000</v>
      </c>
      <c r="G89" s="93">
        <v>64000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16</v>
      </c>
      <c r="G91">
        <f>G89/4000</f>
        <v>16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2:U103"/>
  <sheetViews>
    <sheetView topLeftCell="C8" zoomScale="87" zoomScaleNormal="87" workbookViewId="0">
      <selection activeCell="I40" sqref="I40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2.42578125" bestFit="1" customWidth="1"/>
  </cols>
  <sheetData>
    <row r="2" spans="1:16" ht="19.5" customHeight="1">
      <c r="H2" t="s">
        <v>189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75</v>
      </c>
      <c r="K8" s="58" t="s">
        <v>66</v>
      </c>
      <c r="L8" s="58" t="s">
        <v>67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42.7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29</v>
      </c>
      <c r="E37" s="91">
        <f>E38+E39</f>
        <v>31</v>
      </c>
      <c r="F37" s="29" t="s">
        <v>12</v>
      </c>
      <c r="G37" s="29" t="s">
        <v>12</v>
      </c>
      <c r="H37" s="91">
        <f t="shared" ref="H37" si="11">H38+H39</f>
        <v>29</v>
      </c>
      <c r="I37" s="91">
        <f>I38+I39</f>
        <v>30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4</v>
      </c>
      <c r="E38" s="82">
        <v>4</v>
      </c>
      <c r="F38" s="44" t="s">
        <v>12</v>
      </c>
      <c r="G38" s="44" t="s">
        <v>12</v>
      </c>
      <c r="H38" s="44">
        <f>D38</f>
        <v>4</v>
      </c>
      <c r="I38" s="82">
        <v>4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25</v>
      </c>
      <c r="E39" s="82">
        <v>27</v>
      </c>
      <c r="F39" s="44" t="s">
        <v>12</v>
      </c>
      <c r="G39" s="44" t="s">
        <v>12</v>
      </c>
      <c r="H39" s="86">
        <f>D39</f>
        <v>25</v>
      </c>
      <c r="I39" s="82">
        <v>26</v>
      </c>
      <c r="K39" s="9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124000</v>
      </c>
      <c r="G89" s="93">
        <v>120000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31</v>
      </c>
      <c r="G91">
        <f>G89/4000</f>
        <v>30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U103"/>
  <sheetViews>
    <sheetView view="pageBreakPreview" topLeftCell="B8" zoomScale="87" zoomScaleNormal="80" zoomScaleSheetLayoutView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4" customWidth="1"/>
  </cols>
  <sheetData>
    <row r="1" spans="1:16">
      <c r="I1" t="s">
        <v>177</v>
      </c>
    </row>
    <row r="2" spans="1:16" ht="11.25" customHeight="1"/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9"/>
      <c r="K8" s="59"/>
      <c r="L8" s="59"/>
      <c r="M8" s="76" t="s">
        <v>174</v>
      </c>
      <c r="N8" s="59"/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41.2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35"/>
      <c r="E11" s="35"/>
      <c r="F11" s="40" t="s">
        <v>12</v>
      </c>
      <c r="G11" s="40" t="s">
        <v>12</v>
      </c>
      <c r="H11" s="35"/>
      <c r="I11" s="35"/>
    </row>
    <row r="12" spans="1:16" s="10" customFormat="1" ht="23.25" hidden="1" customHeight="1" thickBot="1">
      <c r="A12" s="25" t="s">
        <v>26</v>
      </c>
      <c r="B12" s="25">
        <v>10</v>
      </c>
      <c r="C12" s="65" t="s">
        <v>96</v>
      </c>
      <c r="D12" s="41"/>
      <c r="E12" s="41"/>
      <c r="F12" s="41" t="s">
        <v>12</v>
      </c>
      <c r="G12" s="41" t="s">
        <v>12</v>
      </c>
      <c r="H12" s="41"/>
      <c r="I12" s="41"/>
    </row>
    <row r="13" spans="1:16" s="10" customFormat="1" ht="51.75" hidden="1" customHeight="1" thickBot="1">
      <c r="A13" s="22" t="s">
        <v>27</v>
      </c>
      <c r="B13" s="23">
        <v>101</v>
      </c>
      <c r="C13" s="66" t="s">
        <v>97</v>
      </c>
      <c r="D13" s="24"/>
      <c r="E13" s="24"/>
      <c r="F13" s="24"/>
      <c r="G13" s="24"/>
      <c r="H13" s="24"/>
      <c r="I13" s="24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21" t="s">
        <v>13</v>
      </c>
      <c r="B14" s="21">
        <v>102</v>
      </c>
      <c r="C14" s="67" t="s">
        <v>98</v>
      </c>
      <c r="D14" s="45"/>
      <c r="E14" s="45"/>
      <c r="F14" s="45"/>
      <c r="G14" s="45"/>
      <c r="H14" s="45"/>
      <c r="I14" s="45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7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7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  <c r="K19" s="10">
        <v>929.8</v>
      </c>
      <c r="L19" s="10">
        <v>956.1099999999999</v>
      </c>
      <c r="M19" s="10">
        <v>947.1099999999999</v>
      </c>
      <c r="N19" s="10">
        <v>925.94</v>
      </c>
      <c r="O19" s="10">
        <v>929.8</v>
      </c>
      <c r="P19" s="10">
        <v>942.28</v>
      </c>
    </row>
    <row r="20" spans="1:16" s="10" customFormat="1" ht="18.600000000000001" hidden="1" customHeight="1" thickBot="1">
      <c r="A20" s="11" t="s">
        <v>18</v>
      </c>
      <c r="B20" s="11">
        <v>145</v>
      </c>
      <c r="C20" s="67" t="s">
        <v>104</v>
      </c>
      <c r="D20" s="44"/>
      <c r="E20" s="44"/>
      <c r="F20" s="44"/>
      <c r="G20" s="44"/>
      <c r="H20" s="44"/>
      <c r="I20" s="44"/>
      <c r="K20" s="10">
        <f>K17-K19</f>
        <v>-929.8</v>
      </c>
      <c r="L20" s="10">
        <f t="shared" ref="L20:P20" si="5">L17-L19</f>
        <v>-956.1099999999999</v>
      </c>
      <c r="M20" s="10">
        <f t="shared" si="5"/>
        <v>-947.1099999999999</v>
      </c>
      <c r="N20" s="10">
        <f t="shared" si="5"/>
        <v>-925.94</v>
      </c>
      <c r="O20" s="10">
        <f t="shared" si="5"/>
        <v>-929.8</v>
      </c>
      <c r="P20" s="10">
        <f t="shared" si="5"/>
        <v>-942.28</v>
      </c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7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20" t="s">
        <v>20</v>
      </c>
      <c r="B24" s="20">
        <v>177</v>
      </c>
      <c r="C24" s="67" t="s">
        <v>108</v>
      </c>
      <c r="D24" s="47"/>
      <c r="E24" s="47"/>
      <c r="F24" s="47"/>
      <c r="G24" s="44"/>
      <c r="H24" s="47"/>
      <c r="I24" s="47"/>
    </row>
    <row r="25" spans="1:16" s="10" customFormat="1" ht="35.25" hidden="1" customHeight="1" thickBot="1">
      <c r="A25" s="22" t="s">
        <v>21</v>
      </c>
      <c r="B25" s="23">
        <v>100</v>
      </c>
      <c r="C25" s="66" t="s">
        <v>109</v>
      </c>
      <c r="D25" s="24">
        <f>D26+D30+D33</f>
        <v>0</v>
      </c>
      <c r="E25" s="24">
        <f>E26+E30+E33</f>
        <v>0</v>
      </c>
      <c r="F25" s="24" t="s">
        <v>12</v>
      </c>
      <c r="G25" s="24">
        <f t="shared" ref="G25:I25" si="6">G26+G30+G33</f>
        <v>0</v>
      </c>
      <c r="H25" s="24">
        <f t="shared" si="6"/>
        <v>0</v>
      </c>
      <c r="I25" s="24">
        <f t="shared" si="6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21" t="s">
        <v>13</v>
      </c>
      <c r="B26" s="21">
        <v>105</v>
      </c>
      <c r="C26" s="67" t="s">
        <v>110</v>
      </c>
      <c r="D26" s="45"/>
      <c r="E26" s="45"/>
      <c r="F26" s="45" t="s">
        <v>12</v>
      </c>
      <c r="G26" s="45"/>
      <c r="H26" s="45"/>
      <c r="I26" s="45"/>
      <c r="J26" s="10" t="s">
        <v>88</v>
      </c>
      <c r="K26" s="10">
        <f>D27+D31+D34</f>
        <v>0</v>
      </c>
      <c r="L26" s="10">
        <f t="shared" ref="L26:P26" si="7">E27+E31+E34</f>
        <v>0</v>
      </c>
      <c r="M26" s="10" t="e">
        <f t="shared" si="7"/>
        <v>#VALUE!</v>
      </c>
      <c r="N26" s="10">
        <f t="shared" si="7"/>
        <v>0</v>
      </c>
      <c r="O26" s="10">
        <f t="shared" si="7"/>
        <v>0</v>
      </c>
      <c r="P26" s="10">
        <f t="shared" si="7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8">E28+E32+E35</f>
        <v>0</v>
      </c>
      <c r="M27" s="10" t="e">
        <f t="shared" si="8"/>
        <v>#VALUE!</v>
      </c>
      <c r="N27" s="10">
        <f>G28+G32+G35</f>
        <v>0</v>
      </c>
      <c r="O27" s="10">
        <f t="shared" si="8"/>
        <v>0</v>
      </c>
      <c r="P27" s="10">
        <f t="shared" si="8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7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9">E36</f>
        <v>0</v>
      </c>
      <c r="M28" s="10" t="str">
        <f t="shared" si="9"/>
        <v>x</v>
      </c>
      <c r="N28" s="10">
        <f>G36</f>
        <v>0</v>
      </c>
      <c r="O28" s="10">
        <f t="shared" si="9"/>
        <v>0</v>
      </c>
      <c r="P28" s="10">
        <f t="shared" si="9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10">L26+L27+L28</f>
        <v>0</v>
      </c>
      <c r="M29" s="10" t="e">
        <f t="shared" si="10"/>
        <v>#VALUE!</v>
      </c>
      <c r="N29" s="10">
        <f t="shared" si="10"/>
        <v>0</v>
      </c>
      <c r="O29" s="10">
        <f t="shared" si="10"/>
        <v>0</v>
      </c>
      <c r="P29" s="10">
        <f t="shared" si="10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7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1">L29-E25</f>
        <v>0</v>
      </c>
      <c r="M30" s="10" t="e">
        <f t="shared" si="11"/>
        <v>#VALUE!</v>
      </c>
      <c r="N30" s="10">
        <f t="shared" si="11"/>
        <v>0</v>
      </c>
      <c r="O30" s="10">
        <f t="shared" si="11"/>
        <v>0</v>
      </c>
      <c r="P30" s="10">
        <f t="shared" si="11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  <c r="K31" s="10">
        <v>787</v>
      </c>
      <c r="L31" s="10">
        <v>787</v>
      </c>
      <c r="M31" s="10" t="s">
        <v>93</v>
      </c>
      <c r="N31" s="10">
        <v>765</v>
      </c>
      <c r="O31" s="10">
        <v>787</v>
      </c>
      <c r="P31" s="10">
        <v>797</v>
      </c>
    </row>
    <row r="32" spans="1:16" s="10" customFormat="1" ht="18.600000000000001" hidden="1" customHeight="1" thickBot="1">
      <c r="A32" s="11" t="s">
        <v>18</v>
      </c>
      <c r="B32" s="11">
        <v>140</v>
      </c>
      <c r="C32" s="67" t="s">
        <v>116</v>
      </c>
      <c r="D32" s="44"/>
      <c r="E32" s="44"/>
      <c r="F32" s="44" t="s">
        <v>12</v>
      </c>
      <c r="G32" s="44"/>
      <c r="H32" s="44"/>
      <c r="I32" s="44"/>
      <c r="K32" s="10">
        <f>K29-K31</f>
        <v>-787</v>
      </c>
      <c r="L32" s="10">
        <f t="shared" ref="L32:P32" si="12">L29-L31</f>
        <v>-787</v>
      </c>
      <c r="M32" s="10" t="e">
        <f t="shared" si="12"/>
        <v>#VALUE!</v>
      </c>
      <c r="N32" s="10">
        <f t="shared" si="12"/>
        <v>-765</v>
      </c>
      <c r="O32" s="10">
        <f t="shared" si="12"/>
        <v>-787</v>
      </c>
      <c r="P32" s="10">
        <f t="shared" si="12"/>
        <v>-797</v>
      </c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  <c r="M33" s="37"/>
      <c r="O33" s="37">
        <f>G40-O40</f>
        <v>0</v>
      </c>
    </row>
    <row r="34" spans="1:21" s="10" customFormat="1" ht="18.600000000000001" hidden="1" customHeight="1" thickBot="1">
      <c r="A34" s="11" t="s">
        <v>14</v>
      </c>
      <c r="B34" s="11">
        <v>120</v>
      </c>
      <c r="C34" s="67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7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84">
        <f>D38+D39</f>
        <v>554</v>
      </c>
      <c r="E37" s="84">
        <f>E38+E39</f>
        <v>584</v>
      </c>
      <c r="F37" s="29" t="s">
        <v>12</v>
      </c>
      <c r="G37" s="29" t="s">
        <v>12</v>
      </c>
      <c r="H37" s="84">
        <f t="shared" ref="H37" si="13">H38+H39</f>
        <v>554</v>
      </c>
      <c r="I37" s="84">
        <f>I38+I39</f>
        <v>565</v>
      </c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89">
        <f>Hasdeu!D38+Alecsandri!D38+Cosbuc!D38+Cantemir!D38+Puskin!D38+Gorki!D38+'St cel Mare'!D38+Blaga!D38+Lomonosov!D38+Maiakovski!D38</f>
        <v>43</v>
      </c>
      <c r="E38" s="89">
        <f>Hasdeu!E38+Alecsandri!E38+Cosbuc!E38+Cantemir!E38+Puskin!E38+Gorki!E38+'St cel Mare'!E38+Blaga!E38+Lomonosov!E38+Maiakovski!E38</f>
        <v>43</v>
      </c>
      <c r="F38" s="44" t="s">
        <v>12</v>
      </c>
      <c r="G38" s="44" t="s">
        <v>12</v>
      </c>
      <c r="H38" s="44">
        <f>D38</f>
        <v>43</v>
      </c>
      <c r="I38" s="89">
        <f>Hasdeu!I38+Alecsandri!I38+Cosbuc!I38+Cantemir!I38+Puskin!I38+Gorki!I38+'St cel Mare'!I38+Blaga!I38+Lomonosov!I38+Maiakovski!I38</f>
        <v>43</v>
      </c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90">
        <f>Hasdeu!D39+Alecsandri!D39+Cosbuc!D39+Cantemir!D39+Puskin!D39+Gorki!D39+'St cel Mare'!D39+Blaga!D39+Lomonosov!D39+Maiakovski!D39</f>
        <v>511</v>
      </c>
      <c r="E39" s="90">
        <f>Hasdeu!E39+Alecsandri!E39+Cosbuc!E39+Cantemir!E39+Puskin!E39+Gorki!E39+'St cel Mare'!E39+Blaga!E39+Lomonosov!E39+Maiakovski!E39</f>
        <v>541</v>
      </c>
      <c r="F39" s="44" t="s">
        <v>12</v>
      </c>
      <c r="G39" s="44" t="s">
        <v>12</v>
      </c>
      <c r="H39" s="44">
        <f>D39</f>
        <v>511</v>
      </c>
      <c r="I39" s="90">
        <f>Hasdeu!I39+Alecsandri!I39+Cosbuc!I39+Cantemir!I39+Puskin!I39+Gorki!I39+'St cel Mare'!I39+Blaga!I39+Lomonosov!I39+Maiakovski!I39</f>
        <v>522</v>
      </c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O43" s="37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9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9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9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9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9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9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34">
        <f>Hasdeu!D56+Alecsandri!D56+Cosbuc!D56+Cantemir!D56+Puskin!D56+Gorki!D56+'St cel Mare'!D56+Blaga!D56+Lomonosov!D56+Maiakovski!D56</f>
        <v>0</v>
      </c>
      <c r="E56" s="34">
        <f>Hasdeu!E56+Alecsandri!E56+Cosbuc!E56+Cantemir!E56+Puskin!E56+Gorki!E56+'St cel Mare'!E56+Blaga!E56+Lomonosov!E56+Maiakovski!E56</f>
        <v>0</v>
      </c>
      <c r="F56" s="34">
        <f>Hasdeu!F56+Alecsandri!F56+Cosbuc!F56+Cantemir!F56+Puskin!F56+Gorki!F56+'St cel Mare'!F56+Blaga!F56+Lomonosov!F56+Maiakovski!F56</f>
        <v>0</v>
      </c>
      <c r="G56" s="34">
        <f>Hasdeu!G56+Alecsandri!G56+Cosbuc!G56+Cantemir!G56+Puskin!G56+Gorki!G56+'St cel Mare'!G56+Blaga!G56+Lomonosov!G56+Maiakovski!G56</f>
        <v>0</v>
      </c>
      <c r="H56" s="34">
        <f>Hasdeu!H56+Alecsandri!H56+Cosbuc!H56+Cantemir!H56+Puskin!H56+Gorki!H56+'St cel Mare'!H56+Blaga!H56+Lomonosov!H56+Maiakovski!H56</f>
        <v>0</v>
      </c>
      <c r="I56" s="34">
        <f>Hasdeu!I56+Alecsandri!I56+Cosbuc!I56+Cantemir!I56+Puskin!I56+Gorki!I56+'St cel Mare'!I56+Blaga!I56+Lomonosov!I56+Maiakovski!I56</f>
        <v>0</v>
      </c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>
        <f>Hasdeu!D57+Alecsandri!D57+Cosbuc!D57+Cantemir!D57+Puskin!D57+Gorki!D57+'St cel Mare'!D57+Blaga!D57+Lomonosov!D57+Maiakovski!D57</f>
        <v>0</v>
      </c>
      <c r="E57" s="17">
        <f>Hasdeu!E57+Alecsandri!E57+Cosbuc!E57+Cantemir!E57+Puskin!E57+Gorki!E57+'St cel Mare'!E57+Blaga!E57+Lomonosov!E57+Maiakovski!E57</f>
        <v>0</v>
      </c>
      <c r="F57" s="17">
        <f>Hasdeu!F57+Alecsandri!F57+Cosbuc!F57+Cantemir!F57+Puskin!F57+Gorki!F57+'St cel Mare'!F57+Blaga!F57+Lomonosov!F57+Maiakovski!F57</f>
        <v>0</v>
      </c>
      <c r="G57" s="17">
        <f>Hasdeu!G57+Alecsandri!G57+Cosbuc!G57+Cantemir!G57+Puskin!G57+Gorki!G57+'St cel Mare'!G57+Blaga!G57+Lomonosov!G57+Maiakovski!G57</f>
        <v>0</v>
      </c>
      <c r="H57" s="17">
        <f>Hasdeu!H57+Alecsandri!H57+Cosbuc!H57+Cantemir!H57+Puskin!H57+Gorki!H57+'St cel Mare'!H57+Blaga!H57+Lomonosov!H57+Maiakovski!H57</f>
        <v>0</v>
      </c>
      <c r="I57" s="17">
        <f>Hasdeu!I57+Alecsandri!I57+Cosbuc!I57+Cantemir!I57+Puskin!I57+Gorki!I57+'St cel Mare'!I57+Blaga!I57+Lomonosov!I57+Maiakovski!I57</f>
        <v>0</v>
      </c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>
        <f>Hasdeu!D58+Alecsandri!D58+Cosbuc!D58+Cantemir!D58+Puskin!D58+Gorki!D58+'St cel Mare'!D58+Blaga!D58+Lomonosov!D58+Maiakovski!D58</f>
        <v>0</v>
      </c>
      <c r="E58" s="17">
        <f>Hasdeu!E58+Alecsandri!E58+Cosbuc!E58+Cantemir!E58+Puskin!E58+Gorki!E58+'St cel Mare'!E58+Blaga!E58+Lomonosov!E58+Maiakovski!E58</f>
        <v>0</v>
      </c>
      <c r="F58" s="17">
        <f>Hasdeu!F58+Alecsandri!F58+Cosbuc!F58+Cantemir!F58+Puskin!F58+Gorki!F58+'St cel Mare'!F58+Blaga!F58+Lomonosov!F58+Maiakovski!F58</f>
        <v>0</v>
      </c>
      <c r="G58" s="17">
        <f>Hasdeu!G58+Alecsandri!G58+Cosbuc!G58+Cantemir!G58+Puskin!G58+Gorki!G58+'St cel Mare'!G58+Blaga!G58+Lomonosov!G58+Maiakovski!G58</f>
        <v>0</v>
      </c>
      <c r="H58" s="17">
        <f>Hasdeu!H58+Alecsandri!H58+Cosbuc!H58+Cantemir!H58+Puskin!H58+Gorki!H58+'St cel Mare'!H58+Blaga!H58+Lomonosov!H58+Maiakovski!H58</f>
        <v>0</v>
      </c>
      <c r="I58" s="17">
        <f>Hasdeu!I58+Alecsandri!I58+Cosbuc!I58+Cantemir!I58+Puskin!I58+Gorki!I58+'St cel Mare'!I58+Blaga!I58+Lomonosov!I58+Maiakovski!I58</f>
        <v>0</v>
      </c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>
        <f>Hasdeu!D59+Alecsandri!D59+Cosbuc!D59+Cantemir!D59+Puskin!D59+Gorki!D59+'St cel Mare'!D59+Blaga!D59+Lomonosov!D59+Maiakovski!D59</f>
        <v>0</v>
      </c>
      <c r="E59" s="17">
        <f>Hasdeu!E59+Alecsandri!E59+Cosbuc!E59+Cantemir!E59+Puskin!E59+Gorki!E59+'St cel Mare'!E59+Blaga!E59+Lomonosov!E59+Maiakovski!E59</f>
        <v>0</v>
      </c>
      <c r="F59" s="17">
        <f>Hasdeu!F59+Alecsandri!F59+Cosbuc!F59+Cantemir!F59+Puskin!F59+Gorki!F59+'St cel Mare'!F59+Blaga!F59+Lomonosov!F59+Maiakovski!F59</f>
        <v>0</v>
      </c>
      <c r="G59" s="17">
        <f>Hasdeu!G59+Alecsandri!G59+Cosbuc!G59+Cantemir!G59+Puskin!G59+Gorki!G59+'St cel Mare'!G59+Blaga!G59+Lomonosov!G59+Maiakovski!G59</f>
        <v>0</v>
      </c>
      <c r="H59" s="17">
        <f>Hasdeu!H59+Alecsandri!H59+Cosbuc!H59+Cantemir!H59+Puskin!H59+Gorki!H59+'St cel Mare'!H59+Blaga!H59+Lomonosov!H59+Maiakovski!H59</f>
        <v>0</v>
      </c>
      <c r="I59" s="17">
        <f>Hasdeu!I59+Alecsandri!I59+Cosbuc!I59+Cantemir!I59+Puskin!I59+Gorki!I59+'St cel Mare'!I59+Blaga!I59+Lomonosov!I59+Maiakovski!I59</f>
        <v>0</v>
      </c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>
        <f>Hasdeu!D64+Alecsandri!D64+Cosbuc!D64+Cantemir!D64+Puskin!D64+Gorki!D64+'St cel Mare'!D64+Blaga!D64+Lomonosov!D64+Maiakovski!D64</f>
        <v>0</v>
      </c>
      <c r="E64" s="29">
        <f>Hasdeu!E64+Alecsandri!E64+Cosbuc!E64+Cantemir!E64+Puskin!E64+Gorki!E64+'St cel Mare'!E64+Blaga!E64+Lomonosov!E64+Maiakovski!E64</f>
        <v>0</v>
      </c>
      <c r="F64" s="29">
        <f>Hasdeu!F64+Alecsandri!F64+Cosbuc!F64+Cantemir!F64+Puskin!F64+Gorki!F64+'St cel Mare'!F64+Blaga!F64+Lomonosov!F64+Maiakovski!F64</f>
        <v>0</v>
      </c>
      <c r="G64" s="29">
        <f>Hasdeu!G64+Alecsandri!G64+Cosbuc!G64+Cantemir!G64+Puskin!G64+Gorki!G64+'St cel Mare'!G64+Blaga!G64+Lomonosov!G64+Maiakovski!G64</f>
        <v>0</v>
      </c>
      <c r="H64" s="29">
        <f>Hasdeu!H64+Alecsandri!H64+Cosbuc!H64+Cantemir!H64+Puskin!H64+Gorki!H64+'St cel Mare'!H64+Blaga!H64+Lomonosov!H64+Maiakovski!H64</f>
        <v>0</v>
      </c>
      <c r="I64" s="29">
        <f>Hasdeu!I64+Alecsandri!I64+Cosbuc!I64+Cantemir!I64+Puskin!I64+Gorki!I64+'St cel Mare'!I64+Blaga!I64+Lomonosov!I64+Maiakovski!I64</f>
        <v>0</v>
      </c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>
        <f>Hasdeu!D65+Alecsandri!D65+Cosbuc!D65+Cantemir!D65+Puskin!D65+Gorki!D65+'St cel Mare'!D65+Blaga!D65+Lomonosov!D65+Maiakovski!D65</f>
        <v>0</v>
      </c>
      <c r="E65" s="17">
        <f>Hasdeu!E65+Alecsandri!E65+Cosbuc!E65+Cantemir!E65+Puskin!E65+Gorki!E65+'St cel Mare'!E65+Blaga!E65+Lomonosov!E65+Maiakovski!E65</f>
        <v>0</v>
      </c>
      <c r="F65" s="17">
        <f>Hasdeu!F65+Alecsandri!F65+Cosbuc!F65+Cantemir!F65+Puskin!F65+Gorki!F65+'St cel Mare'!F65+Blaga!F65+Lomonosov!F65+Maiakovski!F65</f>
        <v>0</v>
      </c>
      <c r="G65" s="17">
        <f>Hasdeu!G65+Alecsandri!G65+Cosbuc!G65+Cantemir!G65+Puskin!G65+Gorki!G65+'St cel Mare'!G65+Blaga!G65+Lomonosov!G65+Maiakovski!G65</f>
        <v>0</v>
      </c>
      <c r="H65" s="17">
        <f>Hasdeu!H65+Alecsandri!H65+Cosbuc!H65+Cantemir!H65+Puskin!H65+Gorki!H65+'St cel Mare'!H65+Blaga!H65+Lomonosov!H65+Maiakovski!H65</f>
        <v>0</v>
      </c>
      <c r="I65" s="17">
        <f>Hasdeu!I65+Alecsandri!I65+Cosbuc!I65+Cantemir!I65+Puskin!I65+Gorki!I65+'St cel Mare'!I65+Blaga!I65+Lomonosov!I65+Maiakovski!I65</f>
        <v>0</v>
      </c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>
        <f>Hasdeu!D66+Alecsandri!D66+Cosbuc!D66+Cantemir!D66+Puskin!D66+Gorki!D66+'St cel Mare'!D66+Blaga!D66+Lomonosov!D66+Maiakovski!D66</f>
        <v>0</v>
      </c>
      <c r="E66" s="17">
        <f>Hasdeu!E66+Alecsandri!E66+Cosbuc!E66+Cantemir!E66+Puskin!E66+Gorki!E66+'St cel Mare'!E66+Blaga!E66+Lomonosov!E66+Maiakovski!E66</f>
        <v>0</v>
      </c>
      <c r="F66" s="17">
        <f>Hasdeu!F66+Alecsandri!F66+Cosbuc!F66+Cantemir!F66+Puskin!F66+Gorki!F66+'St cel Mare'!F66+Blaga!F66+Lomonosov!F66+Maiakovski!F66</f>
        <v>0</v>
      </c>
      <c r="G66" s="17">
        <f>Hasdeu!G66+Alecsandri!G66+Cosbuc!G66+Cantemir!G66+Puskin!G66+Gorki!G66+'St cel Mare'!G66+Blaga!G66+Lomonosov!G66+Maiakovski!G66</f>
        <v>0</v>
      </c>
      <c r="H66" s="17">
        <f>Hasdeu!H66+Alecsandri!H66+Cosbuc!H66+Cantemir!H66+Puskin!H66+Gorki!H66+'St cel Mare'!H66+Blaga!H66+Lomonosov!H66+Maiakovski!H66</f>
        <v>0</v>
      </c>
      <c r="I66" s="17">
        <f>Hasdeu!I66+Alecsandri!I66+Cosbuc!I66+Cantemir!I66+Puskin!I66+Gorki!I66+'St cel Mare'!I66+Blaga!I66+Lomonosov!I66+Maiakovski!I66</f>
        <v>0</v>
      </c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>
        <f>Hasdeu!D67+Alecsandri!D67+Cosbuc!D67+Cantemir!D67+Puskin!D67+Gorki!D67+'St cel Mare'!D67+Blaga!D67+Lomonosov!D67+Maiakovski!D67</f>
        <v>0</v>
      </c>
      <c r="E67" s="17">
        <f>Hasdeu!E67+Alecsandri!E67+Cosbuc!E67+Cantemir!E67+Puskin!E67+Gorki!E67+'St cel Mare'!E67+Blaga!E67+Lomonosov!E67+Maiakovski!E67</f>
        <v>0</v>
      </c>
      <c r="F67" s="17">
        <f>Hasdeu!F67+Alecsandri!F67+Cosbuc!F67+Cantemir!F67+Puskin!F67+Gorki!F67+'St cel Mare'!F67+Blaga!F67+Lomonosov!F67+Maiakovski!F67</f>
        <v>0</v>
      </c>
      <c r="G67" s="17">
        <f>Hasdeu!G67+Alecsandri!G67+Cosbuc!G67+Cantemir!G67+Puskin!G67+Gorki!G67+'St cel Mare'!G67+Blaga!G67+Lomonosov!G67+Maiakovski!G67</f>
        <v>0</v>
      </c>
      <c r="H67" s="17">
        <f>Hasdeu!H67+Alecsandri!H67+Cosbuc!H67+Cantemir!H67+Puskin!H67+Gorki!H67+'St cel Mare'!H67+Blaga!H67+Lomonosov!H67+Maiakovski!H67</f>
        <v>0</v>
      </c>
      <c r="I67" s="17">
        <f>Hasdeu!I67+Alecsandri!I67+Cosbuc!I67+Cantemir!I67+Puskin!I67+Gorki!I67+'St cel Mare'!I67+Blaga!I67+Lomonosov!I67+Maiakovski!I67</f>
        <v>0</v>
      </c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>
        <f>Hasdeu!D68+Alecsandri!D68+Cosbuc!D68+Cantemir!D68+Puskin!D68+Gorki!D68+'St cel Mare'!D68+Blaga!D68+Lomonosov!D68+Maiakovski!D68</f>
        <v>0</v>
      </c>
      <c r="E68" s="29">
        <f>Hasdeu!E68+Alecsandri!E68+Cosbuc!E68+Cantemir!E68+Puskin!E68+Gorki!E68+'St cel Mare'!E68+Blaga!E68+Lomonosov!E68+Maiakovski!E68</f>
        <v>0</v>
      </c>
      <c r="F68" s="29">
        <f>Hasdeu!F68+Alecsandri!F68+Cosbuc!F68+Cantemir!F68+Puskin!F68+Gorki!F68+'St cel Mare'!F68+Blaga!F68+Lomonosov!F68+Maiakovski!F68</f>
        <v>0</v>
      </c>
      <c r="G68" s="29">
        <f>Hasdeu!G68+Alecsandri!G68+Cosbuc!G68+Cantemir!G68+Puskin!G68+Gorki!G68+'St cel Mare'!G68+Blaga!G68+Lomonosov!G68+Maiakovski!G68</f>
        <v>0</v>
      </c>
      <c r="H68" s="29">
        <f>Hasdeu!H68+Alecsandri!H68+Cosbuc!H68+Cantemir!H68+Puskin!H68+Gorki!H68+'St cel Mare'!H68+Blaga!H68+Lomonosov!H68+Maiakovski!H68</f>
        <v>0</v>
      </c>
      <c r="I68" s="29">
        <f>Hasdeu!I68+Alecsandri!I68+Cosbuc!I68+Cantemir!I68+Puskin!I68+Gorki!I68+'St cel Mare'!I68+Blaga!I68+Lomonosov!I68+Maiakovski!I68</f>
        <v>0</v>
      </c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>
        <f>Hasdeu!D69+Alecsandri!D69+Cosbuc!D69+Cantemir!D69+Puskin!D69+Gorki!D69+'St cel Mare'!D69+Blaga!D69+Lomonosov!D69+Maiakovski!D69</f>
        <v>0</v>
      </c>
      <c r="E69" s="17">
        <f>Hasdeu!E69+Alecsandri!E69+Cosbuc!E69+Cantemir!E69+Puskin!E69+Gorki!E69+'St cel Mare'!E69+Blaga!E69+Lomonosov!E69+Maiakovski!E69</f>
        <v>0</v>
      </c>
      <c r="F69" s="17">
        <f>Hasdeu!F69+Alecsandri!F69+Cosbuc!F69+Cantemir!F69+Puskin!F69+Gorki!F69+'St cel Mare'!F69+Blaga!F69+Lomonosov!F69+Maiakovski!F69</f>
        <v>0</v>
      </c>
      <c r="G69" s="17">
        <f>Hasdeu!G69+Alecsandri!G69+Cosbuc!G69+Cantemir!G69+Puskin!G69+Gorki!G69+'St cel Mare'!G69+Blaga!G69+Lomonosov!G69+Maiakovski!G69</f>
        <v>0</v>
      </c>
      <c r="H69" s="17">
        <f>Hasdeu!H69+Alecsandri!H69+Cosbuc!H69+Cantemir!H69+Puskin!H69+Gorki!H69+'St cel Mare'!H69+Blaga!H69+Lomonosov!H69+Maiakovski!H69</f>
        <v>0</v>
      </c>
      <c r="I69" s="17">
        <f>Hasdeu!I69+Alecsandri!I69+Cosbuc!I69+Cantemir!I69+Puskin!I69+Gorki!I69+'St cel Mare'!I69+Blaga!I69+Lomonosov!I69+Maiakovski!I69</f>
        <v>0</v>
      </c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>
        <f>Hasdeu!D70+Alecsandri!D70+Cosbuc!D70+Cantemir!D70+Puskin!D70+Gorki!D70+'St cel Mare'!D70+Blaga!D70+Lomonosov!D70+Maiakovski!D70</f>
        <v>0</v>
      </c>
      <c r="E70" s="17">
        <f>Hasdeu!E70+Alecsandri!E70+Cosbuc!E70+Cantemir!E70+Puskin!E70+Gorki!E70+'St cel Mare'!E70+Blaga!E70+Lomonosov!E70+Maiakovski!E70</f>
        <v>0</v>
      </c>
      <c r="F70" s="17">
        <f>Hasdeu!F70+Alecsandri!F70+Cosbuc!F70+Cantemir!F70+Puskin!F70+Gorki!F70+'St cel Mare'!F70+Blaga!F70+Lomonosov!F70+Maiakovski!F70</f>
        <v>0</v>
      </c>
      <c r="G70" s="17">
        <f>Hasdeu!G70+Alecsandri!G70+Cosbuc!G70+Cantemir!G70+Puskin!G70+Gorki!G70+'St cel Mare'!G70+Blaga!G70+Lomonosov!G70+Maiakovski!G70</f>
        <v>0</v>
      </c>
      <c r="H70" s="17">
        <f>Hasdeu!H70+Alecsandri!H70+Cosbuc!H70+Cantemir!H70+Puskin!H70+Gorki!H70+'St cel Mare'!H70+Blaga!H70+Lomonosov!H70+Maiakovski!H70</f>
        <v>0</v>
      </c>
      <c r="I70" s="17">
        <f>Hasdeu!I70+Alecsandri!I70+Cosbuc!I70+Cantemir!I70+Puskin!I70+Gorki!I70+'St cel Mare'!I70+Blaga!I70+Lomonosov!I70+Maiakovski!I70</f>
        <v>0</v>
      </c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>
        <f>Hasdeu!D71+Alecsandri!D71+Cosbuc!D71+Cantemir!D71+Puskin!D71+Gorki!D71+'St cel Mare'!D71+Blaga!D71+Lomonosov!D71+Maiakovski!D71</f>
        <v>0</v>
      </c>
      <c r="E71" s="17">
        <f>Hasdeu!E71+Alecsandri!E71+Cosbuc!E71+Cantemir!E71+Puskin!E71+Gorki!E71+'St cel Mare'!E71+Blaga!E71+Lomonosov!E71+Maiakovski!E71</f>
        <v>0</v>
      </c>
      <c r="F71" s="17">
        <f>Hasdeu!F71+Alecsandri!F71+Cosbuc!F71+Cantemir!F71+Puskin!F71+Gorki!F71+'St cel Mare'!F71+Blaga!F71+Lomonosov!F71+Maiakovski!F71</f>
        <v>0</v>
      </c>
      <c r="G71" s="17">
        <f>Hasdeu!G71+Alecsandri!G71+Cosbuc!G71+Cantemir!G71+Puskin!G71+Gorki!G71+'St cel Mare'!G71+Blaga!G71+Lomonosov!G71+Maiakovski!G71</f>
        <v>0</v>
      </c>
      <c r="H71" s="17">
        <f>Hasdeu!H71+Alecsandri!H71+Cosbuc!H71+Cantemir!H71+Puskin!H71+Gorki!H71+'St cel Mare'!H71+Blaga!H71+Lomonosov!H71+Maiakovski!H71</f>
        <v>0</v>
      </c>
      <c r="I71" s="17">
        <f>Hasdeu!I71+Alecsandri!I71+Cosbuc!I71+Cantemir!I71+Puskin!I71+Gorki!I71+'St cel Mare'!I71+Blaga!I71+Lomonosov!I71+Maiakovski!I71</f>
        <v>0</v>
      </c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>
        <f>Hasdeu!D72+Alecsandri!D72+Cosbuc!D72+Cantemir!D72+Puskin!D72+Gorki!D72+'St cel Mare'!D72+Blaga!D72+Lomonosov!D72+Maiakovski!D72</f>
        <v>0</v>
      </c>
      <c r="E72" s="17">
        <f>Hasdeu!E72+Alecsandri!E72+Cosbuc!E72+Cantemir!E72+Puskin!E72+Gorki!E72+'St cel Mare'!E72+Blaga!E72+Lomonosov!E72+Maiakovski!E72</f>
        <v>0</v>
      </c>
      <c r="F72" s="17">
        <f>Hasdeu!F72+Alecsandri!F72+Cosbuc!F72+Cantemir!F72+Puskin!F72+Gorki!F72+'St cel Mare'!F72+Blaga!F72+Lomonosov!F72+Maiakovski!F72</f>
        <v>0</v>
      </c>
      <c r="G72" s="17">
        <f>Hasdeu!G72+Alecsandri!G72+Cosbuc!G72+Cantemir!G72+Puskin!G72+Gorki!G72+'St cel Mare'!G72+Blaga!G72+Lomonosov!G72+Maiakovski!G72</f>
        <v>0</v>
      </c>
      <c r="H72" s="17">
        <f>Hasdeu!H72+Alecsandri!H72+Cosbuc!H72+Cantemir!H72+Puskin!H72+Gorki!H72+'St cel Mare'!H72+Blaga!H72+Lomonosov!H72+Maiakovski!H72</f>
        <v>0</v>
      </c>
      <c r="I72" s="17">
        <f>Hasdeu!I72+Alecsandri!I72+Cosbuc!I72+Cantemir!I72+Puskin!I72+Gorki!I72+'St cel Mare'!I72+Blaga!I72+Lomonosov!I72+Maiakovski!I72</f>
        <v>0</v>
      </c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>
        <f>Hasdeu!D73+Alecsandri!D73+Cosbuc!D73+Cantemir!D73+Puskin!D73+Gorki!D73+'St cel Mare'!D73+Blaga!D73+Lomonosov!D73+Maiakovski!D73</f>
        <v>0</v>
      </c>
      <c r="E73" s="17">
        <f>Hasdeu!E73+Alecsandri!E73+Cosbuc!E73+Cantemir!E73+Puskin!E73+Gorki!E73+'St cel Mare'!E73+Blaga!E73+Lomonosov!E73+Maiakovski!E73</f>
        <v>0</v>
      </c>
      <c r="F73" s="17">
        <f>Hasdeu!F73+Alecsandri!F73+Cosbuc!F73+Cantemir!F73+Puskin!F73+Gorki!F73+'St cel Mare'!F73+Blaga!F73+Lomonosov!F73+Maiakovski!F73</f>
        <v>0</v>
      </c>
      <c r="G73" s="17">
        <f>Hasdeu!G73+Alecsandri!G73+Cosbuc!G73+Cantemir!G73+Puskin!G73+Gorki!G73+'St cel Mare'!G73+Blaga!G73+Lomonosov!G73+Maiakovski!G73</f>
        <v>0</v>
      </c>
      <c r="H73" s="17">
        <f>Hasdeu!H73+Alecsandri!H73+Cosbuc!H73+Cantemir!H73+Puskin!H73+Gorki!H73+'St cel Mare'!H73+Blaga!H73+Lomonosov!H73+Maiakovski!H73</f>
        <v>0</v>
      </c>
      <c r="I73" s="17">
        <f>Hasdeu!I73+Alecsandri!I73+Cosbuc!I73+Cantemir!I73+Puskin!I73+Gorki!I73+'St cel Mare'!I73+Blaga!I73+Lomonosov!I73+Maiakovski!I73</f>
        <v>0</v>
      </c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>
        <f>Hasdeu!D74+Alecsandri!D74+Cosbuc!D74+Cantemir!D74+Puskin!D74+Gorki!D74+'St cel Mare'!D74+Blaga!D74+Lomonosov!D74+Maiakovski!D74</f>
        <v>0</v>
      </c>
      <c r="E74" s="17">
        <f>Hasdeu!E74+Alecsandri!E74+Cosbuc!E74+Cantemir!E74+Puskin!E74+Gorki!E74+'St cel Mare'!E74+Blaga!E74+Lomonosov!E74+Maiakovski!E74</f>
        <v>0</v>
      </c>
      <c r="F74" s="17">
        <f>Hasdeu!F74+Alecsandri!F74+Cosbuc!F74+Cantemir!F74+Puskin!F74+Gorki!F74+'St cel Mare'!F74+Blaga!F74+Lomonosov!F74+Maiakovski!F74</f>
        <v>0</v>
      </c>
      <c r="G74" s="17">
        <f>Hasdeu!G74+Alecsandri!G74+Cosbuc!G74+Cantemir!G74+Puskin!G74+Gorki!G74+'St cel Mare'!G74+Blaga!G74+Lomonosov!G74+Maiakovski!G74</f>
        <v>0</v>
      </c>
      <c r="H74" s="17">
        <f>Hasdeu!H74+Alecsandri!H74+Cosbuc!H74+Cantemir!H74+Puskin!H74+Gorki!H74+'St cel Mare'!H74+Blaga!H74+Lomonosov!H74+Maiakovski!H74</f>
        <v>0</v>
      </c>
      <c r="I74" s="17">
        <f>Hasdeu!I74+Alecsandri!I74+Cosbuc!I74+Cantemir!I74+Puskin!I74+Gorki!I74+'St cel Mare'!I74+Blaga!I74+Lomonosov!I74+Maiakovski!I74</f>
        <v>0</v>
      </c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>
        <f>Hasdeu!F75+Alecsandri!F75+Cosbuc!F75+Cantemir!F75+Puskin!F75+Gorki!F75+'St cel Mare'!F75+Blaga!F75+Lomonosov!F75+Maiakovski!F75</f>
        <v>0</v>
      </c>
      <c r="G75" s="29">
        <f>Hasdeu!G75+Alecsandri!G75+Cosbuc!G75+Cantemir!G75+Puskin!G75+Gorki!G75+'St cel Mare'!G75+Blaga!G75+Lomonosov!G75+Maiakovski!G75</f>
        <v>0</v>
      </c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>
        <f>Hasdeu!F76+Alecsandri!F76+Cosbuc!F76+Cantemir!F76+Puskin!F76+Gorki!F76+'St cel Mare'!F76+Blaga!F76+Lomonosov!F76+Maiakovski!F76</f>
        <v>0</v>
      </c>
      <c r="G76" s="17">
        <f>Hasdeu!G76+Alecsandri!G76+Cosbuc!G76+Cantemir!G76+Puskin!G76+Gorki!G76+'St cel Mare'!G76+Blaga!G76+Lomonosov!G76+Maiakovski!G76</f>
        <v>0</v>
      </c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>
        <f>Hasdeu!F77+Alecsandri!F77+Cosbuc!F77+Cantemir!F77+Puskin!F77+Gorki!F77+'St cel Mare'!F77+Blaga!F77+Lomonosov!F77+Maiakovski!F77</f>
        <v>0</v>
      </c>
      <c r="G77" s="17">
        <f>Hasdeu!G77+Alecsandri!G77+Cosbuc!G77+Cantemir!G77+Puskin!G77+Gorki!G77+'St cel Mare'!G77+Blaga!G77+Lomonosov!G77+Maiakovski!G77</f>
        <v>0</v>
      </c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>
        <f>Hasdeu!F78+Alecsandri!F78+Cosbuc!F78+Cantemir!F78+Puskin!F78+Gorki!F78+'St cel Mare'!F78+Blaga!F78+Lomonosov!F78+Maiakovski!F78</f>
        <v>0</v>
      </c>
      <c r="G78" s="17">
        <f>Hasdeu!G78+Alecsandri!G78+Cosbuc!G78+Cantemir!G78+Puskin!G78+Gorki!G78+'St cel Mare'!G78+Blaga!G78+Lomonosov!G78+Maiakovski!G78</f>
        <v>0</v>
      </c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>
        <f>Hasdeu!F79+Alecsandri!F79+Cosbuc!F79+Cantemir!F79+Puskin!F79+Gorki!F79+'St cel Mare'!F79+Blaga!F79+Lomonosov!F79+Maiakovski!F79</f>
        <v>0</v>
      </c>
      <c r="G79" s="17">
        <f>Hasdeu!G79+Alecsandri!G79+Cosbuc!G79+Cantemir!G79+Puskin!G79+Gorki!G79+'St cel Mare'!G79+Blaga!G79+Lomonosov!G79+Maiakovski!G79</f>
        <v>0</v>
      </c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>
        <f>Hasdeu!F80+Alecsandri!F80+Cosbuc!F80+Cantemir!F80+Puskin!F80+Gorki!F80+'St cel Mare'!F80+Blaga!F80+Lomonosov!F80+Maiakovski!F80</f>
        <v>0</v>
      </c>
      <c r="G80" s="17">
        <f>Hasdeu!G80+Alecsandri!G80+Cosbuc!G80+Cantemir!G80+Puskin!G80+Gorki!G80+'St cel Mare'!G80+Blaga!G80+Lomonosov!G80+Maiakovski!G80</f>
        <v>0</v>
      </c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>
        <f>Hasdeu!F81+Alecsandri!F81+Cosbuc!F81+Cantemir!F81+Puskin!F81+Gorki!F81+'St cel Mare'!F81+Blaga!F81+Lomonosov!F81+Maiakovski!F81</f>
        <v>0</v>
      </c>
      <c r="G81" s="17">
        <f>Hasdeu!G81+Alecsandri!G81+Cosbuc!G81+Cantemir!G81+Puskin!G81+Gorki!G81+'St cel Mare'!G81+Blaga!G81+Lomonosov!G81+Maiakovski!G81</f>
        <v>0</v>
      </c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>
        <f>Hasdeu!F82+Alecsandri!F82+Cosbuc!F82+Cantemir!F82+Puskin!F82+Gorki!F82+'St cel Mare'!F82+Blaga!F82+Lomonosov!F82+Maiakovski!F82</f>
        <v>0</v>
      </c>
      <c r="G82" s="29">
        <f>Hasdeu!G82+Alecsandri!G82+Cosbuc!G82+Cantemir!G82+Puskin!G82+Gorki!G82+'St cel Mare'!G82+Blaga!G82+Lomonosov!G82+Maiakovski!G82</f>
        <v>0</v>
      </c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>
        <f>Hasdeu!F83+Alecsandri!F83+Cosbuc!F83+Cantemir!F83+Puskin!F83+Gorki!F83+'St cel Mare'!F83+Blaga!F83+Lomonosov!F83+Maiakovski!F83</f>
        <v>0</v>
      </c>
      <c r="G83" s="17">
        <f>Hasdeu!G83+Alecsandri!G83+Cosbuc!G83+Cantemir!G83+Puskin!G83+Gorki!G83+'St cel Mare'!G83+Blaga!G83+Lomonosov!G83+Maiakovski!G83</f>
        <v>0</v>
      </c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>
        <f>Hasdeu!F84+Alecsandri!F84+Cosbuc!F84+Cantemir!F84+Puskin!F84+Gorki!F84+'St cel Mare'!F84+Blaga!F84+Lomonosov!F84+Maiakovski!F84</f>
        <v>0</v>
      </c>
      <c r="G84" s="17">
        <f>Hasdeu!G84+Alecsandri!G84+Cosbuc!G84+Cantemir!G84+Puskin!G84+Gorki!G84+'St cel Mare'!G84+Blaga!G84+Lomonosov!G84+Maiakovski!G84</f>
        <v>0</v>
      </c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>
        <f>Hasdeu!F85+Alecsandri!F85+Cosbuc!F85+Cantemir!F85+Puskin!F85+Gorki!F85+'St cel Mare'!F85+Blaga!F85+Lomonosov!F85+Maiakovski!F85</f>
        <v>0</v>
      </c>
      <c r="G85" s="17">
        <f>Hasdeu!G85+Alecsandri!G85+Cosbuc!G85+Cantemir!G85+Puskin!G85+Gorki!G85+'St cel Mare'!G85+Blaga!G85+Lomonosov!G85+Maiakovski!G85</f>
        <v>0</v>
      </c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>
        <f>Hasdeu!F86+Alecsandri!F86+Cosbuc!F86+Cantemir!F86+Puskin!F86+Gorki!F86+'St cel Mare'!F86+Blaga!F86+Lomonosov!F86+Maiakovski!F86</f>
        <v>0</v>
      </c>
      <c r="G86" s="17">
        <f>Hasdeu!G86+Alecsandri!G86+Cosbuc!G86+Cantemir!G86+Puskin!G86+Gorki!G86+'St cel Mare'!G86+Blaga!G86+Lomonosov!G86+Maiakovski!G86</f>
        <v>0</v>
      </c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>
        <f>Hasdeu!F87+Alecsandri!F87+Cosbuc!F87+Cantemir!F87+Puskin!F87+Gorki!F87+'St cel Mare'!F87+Blaga!F87+Lomonosov!F87+Maiakovski!F87</f>
        <v>0</v>
      </c>
      <c r="G87" s="17">
        <f>Hasdeu!G87+Alecsandri!G87+Cosbuc!G87+Cantemir!G87+Puskin!G87+Gorki!G87+'St cel Mare'!G87+Blaga!G87+Lomonosov!G87+Maiakovski!G87</f>
        <v>0</v>
      </c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>
        <f>Hasdeu!F88+Alecsandri!F88+Cosbuc!F88+Cantemir!F88+Puskin!F88+Gorki!F88+'St cel Mare'!F88+Blaga!F88+Lomonosov!F88+Maiakovski!F88</f>
        <v>0</v>
      </c>
      <c r="G88" s="17">
        <f>Hasdeu!G88+Alecsandri!G88+Cosbuc!G88+Cantemir!G88+Puskin!G88+Gorki!G88+'St cel Mare'!G88+Blaga!G88+Lomonosov!G88+Maiakovski!G88</f>
        <v>0</v>
      </c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f>Cantemir!F89+Hasdeu!F89+Blaga!F89+Lomonosov!F89+Gorki!F89+Cosbuc!F89+Maiakovski!F89+'St cel Mare'!F89+Puskin!F89+Alecsandri!F89</f>
        <v>2336000</v>
      </c>
      <c r="G89" s="94">
        <f>Cantemir!G89+Hasdeu!G89+Blaga!G89+Lomonosov!G89+Gorki!G89+Cosbuc!G89+Maiakovski!G89+'St cel Mare'!G89+Puskin!G89+Alecsandri!G89</f>
        <v>2260000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584</v>
      </c>
      <c r="G91">
        <f>G89/4000</f>
        <v>565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  <c r="I94" s="101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fitToHeight="0" orientation="landscape" verticalDpi="0" r:id="rId1"/>
  <rowBreaks count="1" manualBreakCount="1">
    <brk id="98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2:U103"/>
  <sheetViews>
    <sheetView topLeftCell="B5" zoomScale="87" zoomScaleNormal="87" workbookViewId="0">
      <selection activeCell="I39" sqref="I3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19" max="19" width="13.7109375" bestFit="1" customWidth="1"/>
    <col min="21" max="21" width="11.28515625" bestFit="1" customWidth="1"/>
  </cols>
  <sheetData>
    <row r="2" spans="1:16" ht="18.75" customHeight="1">
      <c r="H2" t="s">
        <v>190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81</v>
      </c>
      <c r="K8" s="58" t="s">
        <v>77</v>
      </c>
      <c r="L8" s="58" t="s">
        <v>78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4.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  <c r="K31" s="10">
        <v>76</v>
      </c>
      <c r="L31" s="10">
        <v>76</v>
      </c>
      <c r="M31" s="10" t="s">
        <v>93</v>
      </c>
      <c r="N31" s="10">
        <v>76</v>
      </c>
      <c r="O31" s="10">
        <v>76</v>
      </c>
      <c r="P31" s="10">
        <v>78</v>
      </c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60</v>
      </c>
      <c r="E37" s="91">
        <f>E38+E39</f>
        <v>63</v>
      </c>
      <c r="F37" s="29" t="s">
        <v>12</v>
      </c>
      <c r="G37" s="29" t="s">
        <v>12</v>
      </c>
      <c r="H37" s="91">
        <f t="shared" ref="H37" si="11">H38+H39</f>
        <v>60</v>
      </c>
      <c r="I37" s="91">
        <f>I38+I39</f>
        <v>61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5</v>
      </c>
      <c r="E38" s="44">
        <v>5</v>
      </c>
      <c r="F38" s="44" t="s">
        <v>12</v>
      </c>
      <c r="G38" s="44" t="s">
        <v>12</v>
      </c>
      <c r="H38" s="44">
        <f>D38</f>
        <v>5</v>
      </c>
      <c r="I38" s="44">
        <v>5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55</v>
      </c>
      <c r="E39" s="44">
        <v>58</v>
      </c>
      <c r="F39" s="44" t="s">
        <v>12</v>
      </c>
      <c r="G39" s="44" t="s">
        <v>12</v>
      </c>
      <c r="H39" s="86">
        <f>D39</f>
        <v>55</v>
      </c>
      <c r="I39" s="44">
        <v>56</v>
      </c>
      <c r="K39" s="97"/>
      <c r="L39" s="53"/>
      <c r="N39" s="37"/>
    </row>
    <row r="40" spans="1:21" s="10" customFormat="1" ht="38.25" customHeight="1" thickBot="1">
      <c r="A40" s="26" t="s">
        <v>31</v>
      </c>
      <c r="B40" s="26">
        <v>500</v>
      </c>
      <c r="C40" s="72" t="s">
        <v>124</v>
      </c>
      <c r="D40" s="36" t="s">
        <v>12</v>
      </c>
      <c r="E40" s="36" t="s">
        <v>12</v>
      </c>
      <c r="F40" s="50">
        <f>F41+F45+F48</f>
        <v>0</v>
      </c>
      <c r="G40" s="50">
        <f>G41+G45+G48</f>
        <v>0</v>
      </c>
      <c r="H40" s="36" t="s">
        <v>12</v>
      </c>
      <c r="I40" s="36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K45" s="10">
        <v>0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252000</v>
      </c>
      <c r="G89" s="29">
        <v>244000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63</v>
      </c>
      <c r="G91">
        <f>G89/4000</f>
        <v>61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/>
  </sheetPr>
  <dimension ref="A2:U103"/>
  <sheetViews>
    <sheetView topLeftCell="B5" zoomScale="87" zoomScaleNormal="87" workbookViewId="0">
      <selection activeCell="I39" sqref="I3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2.42578125" bestFit="1" customWidth="1"/>
  </cols>
  <sheetData>
    <row r="2" spans="1:16" ht="18" customHeight="1">
      <c r="H2" t="s">
        <v>191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76</v>
      </c>
      <c r="K8" s="58" t="s">
        <v>77</v>
      </c>
      <c r="L8" s="58" t="s">
        <v>78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7.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46</v>
      </c>
      <c r="E37" s="91">
        <f>E38+E39</f>
        <v>53</v>
      </c>
      <c r="F37" s="29" t="s">
        <v>12</v>
      </c>
      <c r="G37" s="29" t="s">
        <v>12</v>
      </c>
      <c r="H37" s="91">
        <f t="shared" ref="H37" si="11">H38+H39</f>
        <v>46</v>
      </c>
      <c r="I37" s="91">
        <f>I38+I39</f>
        <v>53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3</v>
      </c>
      <c r="E38" s="82">
        <v>3</v>
      </c>
      <c r="F38" s="44" t="s">
        <v>12</v>
      </c>
      <c r="G38" s="44" t="s">
        <v>12</v>
      </c>
      <c r="H38" s="44">
        <f>D38</f>
        <v>3</v>
      </c>
      <c r="I38" s="82">
        <v>3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43</v>
      </c>
      <c r="E39" s="82">
        <v>50</v>
      </c>
      <c r="F39" s="44" t="s">
        <v>12</v>
      </c>
      <c r="G39" s="44" t="s">
        <v>12</v>
      </c>
      <c r="H39" s="86">
        <f>D39</f>
        <v>43</v>
      </c>
      <c r="I39" s="82">
        <v>50</v>
      </c>
      <c r="K39" s="97"/>
      <c r="N39" s="3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/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/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212000</v>
      </c>
      <c r="G89" s="29">
        <v>212000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53</v>
      </c>
      <c r="G91">
        <f>G89/4000</f>
        <v>53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/>
  </sheetPr>
  <dimension ref="A2:U103"/>
  <sheetViews>
    <sheetView topLeftCell="B6" zoomScale="87" zoomScaleNormal="87" workbookViewId="0">
      <selection activeCell="I40" sqref="I40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2.42578125" bestFit="1" customWidth="1"/>
  </cols>
  <sheetData>
    <row r="2" spans="1:16" ht="21.75" customHeight="1">
      <c r="H2" t="s">
        <v>192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85</v>
      </c>
      <c r="K8" s="58" t="s">
        <v>77</v>
      </c>
      <c r="L8" s="58" t="s">
        <v>78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4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  <c r="M35" s="37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66</v>
      </c>
      <c r="E37" s="91">
        <f>E38+E39</f>
        <v>70</v>
      </c>
      <c r="F37" s="29" t="s">
        <v>12</v>
      </c>
      <c r="G37" s="29" t="s">
        <v>12</v>
      </c>
      <c r="H37" s="91">
        <f t="shared" ref="H37" si="11">H38+H39</f>
        <v>66</v>
      </c>
      <c r="I37" s="91">
        <f>I38+I39</f>
        <v>68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5</v>
      </c>
      <c r="E38" s="44">
        <v>5</v>
      </c>
      <c r="F38" s="82" t="s">
        <v>12</v>
      </c>
      <c r="G38" s="44" t="s">
        <v>12</v>
      </c>
      <c r="H38" s="44">
        <f>D38</f>
        <v>5</v>
      </c>
      <c r="I38" s="44">
        <v>5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61</v>
      </c>
      <c r="E39" s="44">
        <v>65</v>
      </c>
      <c r="F39" s="82" t="s">
        <v>12</v>
      </c>
      <c r="G39" s="44" t="s">
        <v>12</v>
      </c>
      <c r="H39" s="86">
        <f>D39</f>
        <v>61</v>
      </c>
      <c r="I39" s="44">
        <v>63</v>
      </c>
      <c r="K39" s="97"/>
      <c r="N39" s="3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85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O40" s="37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O43" s="37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9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9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280000</v>
      </c>
      <c r="G89" s="29">
        <v>272000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70</v>
      </c>
      <c r="G91">
        <f>G89/4000</f>
        <v>68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/>
  </sheetPr>
  <dimension ref="A2:U103"/>
  <sheetViews>
    <sheetView topLeftCell="B5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1.28515625" bestFit="1" customWidth="1"/>
  </cols>
  <sheetData>
    <row r="2" spans="1:16" ht="22.5" customHeight="1">
      <c r="H2" t="s">
        <v>193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86</v>
      </c>
      <c r="K8" s="58" t="s">
        <v>77</v>
      </c>
      <c r="L8" s="58" t="s">
        <v>78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8.2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  <c r="K31" s="10">
        <v>78</v>
      </c>
      <c r="L31" s="10">
        <v>78</v>
      </c>
      <c r="M31" s="10" t="s">
        <v>93</v>
      </c>
      <c r="N31" s="10">
        <v>75</v>
      </c>
      <c r="O31" s="10">
        <v>78</v>
      </c>
      <c r="P31" s="10">
        <v>80</v>
      </c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48</v>
      </c>
      <c r="E37" s="91">
        <f>E38+E39</f>
        <v>48</v>
      </c>
      <c r="F37" s="29" t="s">
        <v>12</v>
      </c>
      <c r="G37" s="29" t="s">
        <v>12</v>
      </c>
      <c r="H37" s="91">
        <f t="shared" ref="H37" si="11">H38+H39</f>
        <v>48</v>
      </c>
      <c r="I37" s="91">
        <f>I38+I39</f>
        <v>48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4</v>
      </c>
      <c r="E38" s="82">
        <v>4</v>
      </c>
      <c r="F38" s="44" t="s">
        <v>12</v>
      </c>
      <c r="G38" s="44" t="s">
        <v>12</v>
      </c>
      <c r="H38" s="44">
        <f>D38</f>
        <v>4</v>
      </c>
      <c r="I38" s="82">
        <v>4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44</v>
      </c>
      <c r="E39" s="82">
        <v>44</v>
      </c>
      <c r="F39" s="44" t="s">
        <v>12</v>
      </c>
      <c r="G39" s="44" t="s">
        <v>12</v>
      </c>
      <c r="H39" s="86">
        <f>D39</f>
        <v>44</v>
      </c>
      <c r="I39" s="82">
        <v>44</v>
      </c>
      <c r="K39" s="97"/>
      <c r="N39" s="3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9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9"/>
      <c r="H43" s="44" t="s">
        <v>12</v>
      </c>
      <c r="I43" s="44" t="s">
        <v>12</v>
      </c>
      <c r="L43" s="55"/>
      <c r="O43" s="37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9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9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9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9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9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9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192000</v>
      </c>
      <c r="G89" s="93">
        <v>192000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48</v>
      </c>
      <c r="G91">
        <f>G89/4000</f>
        <v>48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/>
  </sheetPr>
  <dimension ref="A2:U103"/>
  <sheetViews>
    <sheetView topLeftCell="B5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2.42578125" bestFit="1" customWidth="1"/>
  </cols>
  <sheetData>
    <row r="2" spans="1:16" ht="18.75" customHeight="1">
      <c r="H2" t="s">
        <v>194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83</v>
      </c>
      <c r="K8" s="58" t="s">
        <v>77</v>
      </c>
      <c r="L8" s="58" t="s">
        <v>78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9.7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25.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20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36</v>
      </c>
      <c r="E37" s="91">
        <f>E38+E39</f>
        <v>41</v>
      </c>
      <c r="F37" s="29" t="s">
        <v>12</v>
      </c>
      <c r="G37" s="29" t="s">
        <v>12</v>
      </c>
      <c r="H37" s="91">
        <f t="shared" ref="H37" si="11">H38+H39</f>
        <v>36</v>
      </c>
      <c r="I37" s="91">
        <f>I38+I39</f>
        <v>41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5</v>
      </c>
      <c r="E38" s="82">
        <v>5</v>
      </c>
      <c r="F38" s="44" t="s">
        <v>12</v>
      </c>
      <c r="G38" s="44" t="s">
        <v>12</v>
      </c>
      <c r="H38" s="44">
        <f>D38</f>
        <v>5</v>
      </c>
      <c r="I38" s="82">
        <v>5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31</v>
      </c>
      <c r="E39" s="82">
        <v>36</v>
      </c>
      <c r="F39" s="44" t="s">
        <v>12</v>
      </c>
      <c r="G39" s="44" t="s">
        <v>12</v>
      </c>
      <c r="H39" s="86">
        <f>D39</f>
        <v>31</v>
      </c>
      <c r="I39" s="82">
        <v>36</v>
      </c>
      <c r="K39" s="97"/>
      <c r="N39" s="3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9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164000</v>
      </c>
      <c r="G89" s="93">
        <v>164000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41</v>
      </c>
      <c r="G91">
        <f>G89/4000</f>
        <v>41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/>
  </sheetPr>
  <dimension ref="A2:U103"/>
  <sheetViews>
    <sheetView topLeftCell="B6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1.28515625" bestFit="1" customWidth="1"/>
  </cols>
  <sheetData>
    <row r="2" spans="1:16" ht="11.25" customHeight="1"/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21" customHeight="1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200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80</v>
      </c>
      <c r="K8" s="58" t="s">
        <v>77</v>
      </c>
      <c r="L8" s="58" t="s">
        <v>78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45.7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76</v>
      </c>
      <c r="E37" s="91">
        <f>E38+E39</f>
        <v>74</v>
      </c>
      <c r="F37" s="29" t="s">
        <v>12</v>
      </c>
      <c r="G37" s="29" t="s">
        <v>12</v>
      </c>
      <c r="H37" s="91">
        <f t="shared" ref="H37" si="11">H38+H39</f>
        <v>76</v>
      </c>
      <c r="I37" s="91">
        <f>I38+I39</f>
        <v>74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4</v>
      </c>
      <c r="E38" s="82">
        <v>4</v>
      </c>
      <c r="F38" s="44" t="s">
        <v>12</v>
      </c>
      <c r="G38" s="44" t="s">
        <v>12</v>
      </c>
      <c r="H38" s="44">
        <f>D38</f>
        <v>4</v>
      </c>
      <c r="I38" s="82">
        <v>4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72</v>
      </c>
      <c r="E39" s="82">
        <v>70</v>
      </c>
      <c r="F39" s="44" t="s">
        <v>12</v>
      </c>
      <c r="G39" s="44" t="s">
        <v>12</v>
      </c>
      <c r="H39" s="86">
        <f>D39</f>
        <v>72</v>
      </c>
      <c r="I39" s="82">
        <v>70</v>
      </c>
      <c r="K39" s="97"/>
      <c r="N39" s="3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9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9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296000</v>
      </c>
      <c r="G89" s="29">
        <v>296000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74</v>
      </c>
      <c r="G91">
        <f>G89/4000</f>
        <v>74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" bottom="0" header="0" footer="0"/>
  <pageSetup paperSize="9" scale="65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/>
  </sheetPr>
  <dimension ref="A2:U103"/>
  <sheetViews>
    <sheetView topLeftCell="B5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2.42578125" bestFit="1" customWidth="1"/>
  </cols>
  <sheetData>
    <row r="2" spans="1:16" ht="19.5" customHeight="1">
      <c r="H2" t="s">
        <v>195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87</v>
      </c>
      <c r="K8" s="58" t="s">
        <v>77</v>
      </c>
      <c r="L8" s="58" t="s">
        <v>78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0" customFormat="1" ht="37.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45</v>
      </c>
      <c r="E37" s="91">
        <f>E38+E39</f>
        <v>49</v>
      </c>
      <c r="F37" s="29" t="s">
        <v>12</v>
      </c>
      <c r="G37" s="29" t="s">
        <v>12</v>
      </c>
      <c r="H37" s="91">
        <f t="shared" ref="H37" si="11">H38+H39</f>
        <v>45</v>
      </c>
      <c r="I37" s="91">
        <f>I38+I39</f>
        <v>49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3</v>
      </c>
      <c r="E38" s="82">
        <v>3</v>
      </c>
      <c r="F38" s="44" t="s">
        <v>12</v>
      </c>
      <c r="G38" s="44" t="s">
        <v>12</v>
      </c>
      <c r="H38" s="44">
        <f>D38</f>
        <v>3</v>
      </c>
      <c r="I38" s="82">
        <v>3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42</v>
      </c>
      <c r="E39" s="82">
        <v>46</v>
      </c>
      <c r="F39" s="44" t="s">
        <v>12</v>
      </c>
      <c r="G39" s="44" t="s">
        <v>12</v>
      </c>
      <c r="H39" s="86">
        <f>D39</f>
        <v>42</v>
      </c>
      <c r="I39" s="82">
        <v>46</v>
      </c>
      <c r="K39" s="97"/>
      <c r="N39" s="3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0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196000</v>
      </c>
      <c r="G89" s="29">
        <v>196000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49</v>
      </c>
      <c r="G91">
        <f>G89/4000</f>
        <v>49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2:U103"/>
  <sheetViews>
    <sheetView topLeftCell="B9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2.42578125" bestFit="1" customWidth="1"/>
  </cols>
  <sheetData>
    <row r="2" spans="1:16" ht="11.25" customHeight="1">
      <c r="H2" t="s">
        <v>196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84</v>
      </c>
      <c r="K8" s="58" t="s">
        <v>77</v>
      </c>
      <c r="L8" s="58" t="s">
        <v>78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44.2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40</v>
      </c>
      <c r="E37" s="91">
        <f>E38+E39</f>
        <v>42</v>
      </c>
      <c r="F37" s="29" t="s">
        <v>12</v>
      </c>
      <c r="G37" s="29" t="s">
        <v>12</v>
      </c>
      <c r="H37" s="91">
        <f t="shared" ref="H37" si="11">H38+H39</f>
        <v>40</v>
      </c>
      <c r="I37" s="91">
        <f>I38+I39</f>
        <v>42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4</v>
      </c>
      <c r="E38" s="82">
        <v>4</v>
      </c>
      <c r="F38" s="44" t="s">
        <v>12</v>
      </c>
      <c r="G38" s="44" t="s">
        <v>12</v>
      </c>
      <c r="H38" s="44">
        <f>D38</f>
        <v>4</v>
      </c>
      <c r="I38" s="82">
        <v>4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36</v>
      </c>
      <c r="E39" s="82">
        <v>38</v>
      </c>
      <c r="F39" s="44" t="s">
        <v>12</v>
      </c>
      <c r="G39" s="44" t="s">
        <v>12</v>
      </c>
      <c r="H39" s="86">
        <f>D39</f>
        <v>36</v>
      </c>
      <c r="I39" s="82">
        <v>38</v>
      </c>
      <c r="K39" s="97"/>
      <c r="N39" s="3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4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168000</v>
      </c>
      <c r="G89" s="29">
        <v>168000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42</v>
      </c>
      <c r="G91">
        <f>G89/4000</f>
        <v>42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2:V103"/>
  <sheetViews>
    <sheetView topLeftCell="B1" zoomScale="87" zoomScaleNormal="87" workbookViewId="0">
      <selection activeCell="G9" sqref="G9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2.42578125" bestFit="1" customWidth="1"/>
    <col min="22" max="22" width="13" bestFit="1" customWidth="1"/>
  </cols>
  <sheetData>
    <row r="2" spans="1:16" ht="15.75" customHeight="1">
      <c r="H2" t="s">
        <v>197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82</v>
      </c>
      <c r="K8" s="58" t="s">
        <v>77</v>
      </c>
      <c r="L8" s="58" t="s">
        <v>78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9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2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2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2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  <c r="M35" s="37"/>
    </row>
    <row r="36" spans="1:22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2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59</v>
      </c>
      <c r="E37" s="91">
        <f>E38+E39</f>
        <v>59</v>
      </c>
      <c r="F37" s="29" t="s">
        <v>12</v>
      </c>
      <c r="G37" s="29" t="s">
        <v>12</v>
      </c>
      <c r="H37" s="91">
        <f t="shared" ref="H37" si="11">H38+H39</f>
        <v>59</v>
      </c>
      <c r="I37" s="91">
        <f>I38+I39</f>
        <v>59</v>
      </c>
      <c r="K37" s="97"/>
      <c r="R37" s="37"/>
    </row>
    <row r="38" spans="1:22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4</v>
      </c>
      <c r="E38" s="82">
        <v>4</v>
      </c>
      <c r="F38" s="44" t="s">
        <v>12</v>
      </c>
      <c r="G38" s="44" t="s">
        <v>12</v>
      </c>
      <c r="H38" s="44">
        <f>D38</f>
        <v>4</v>
      </c>
      <c r="I38" s="82">
        <v>4</v>
      </c>
      <c r="K38" s="97"/>
    </row>
    <row r="39" spans="1:22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55</v>
      </c>
      <c r="E39" s="82">
        <v>55</v>
      </c>
      <c r="F39" s="44" t="s">
        <v>12</v>
      </c>
      <c r="G39" s="44" t="s">
        <v>12</v>
      </c>
      <c r="H39" s="86">
        <f>D39</f>
        <v>55</v>
      </c>
      <c r="I39" s="82">
        <v>55</v>
      </c>
      <c r="K39" s="97"/>
      <c r="N39" s="37"/>
      <c r="O39" s="37"/>
    </row>
    <row r="40" spans="1:22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M40" s="37"/>
      <c r="P40" s="37"/>
      <c r="T40" s="37"/>
      <c r="U40" s="37"/>
      <c r="V40" s="37"/>
    </row>
    <row r="41" spans="1:22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M41" s="37"/>
      <c r="P41" s="37"/>
      <c r="T41" s="37"/>
      <c r="U41" s="37"/>
      <c r="V41" s="37"/>
    </row>
    <row r="42" spans="1:22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9"/>
      <c r="H42" s="44" t="s">
        <v>12</v>
      </c>
      <c r="I42" s="44" t="s">
        <v>12</v>
      </c>
      <c r="L42" s="55"/>
      <c r="M42" s="37"/>
      <c r="P42" s="37"/>
      <c r="T42" s="37"/>
      <c r="U42" s="37"/>
    </row>
    <row r="43" spans="1:22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9"/>
      <c r="H43" s="44" t="s">
        <v>12</v>
      </c>
      <c r="I43" s="44" t="s">
        <v>12</v>
      </c>
      <c r="L43" s="55"/>
      <c r="M43" s="37"/>
      <c r="O43" s="37"/>
      <c r="P43" s="37"/>
      <c r="T43" s="37"/>
      <c r="U43" s="37"/>
    </row>
    <row r="44" spans="1:22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9"/>
      <c r="H44" s="44" t="s">
        <v>12</v>
      </c>
      <c r="I44" s="44" t="s">
        <v>12</v>
      </c>
      <c r="L44" s="55"/>
      <c r="M44" s="37"/>
      <c r="P44" s="37"/>
      <c r="T44" s="37"/>
      <c r="U44" s="37"/>
    </row>
    <row r="45" spans="1:22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M45" s="37"/>
      <c r="P45" s="37"/>
      <c r="T45" s="37"/>
      <c r="U45" s="37"/>
    </row>
    <row r="46" spans="1:22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9"/>
      <c r="H46" s="44" t="s">
        <v>12</v>
      </c>
      <c r="I46" s="44" t="s">
        <v>12</v>
      </c>
      <c r="L46" s="55"/>
      <c r="M46" s="37"/>
      <c r="P46" s="37"/>
      <c r="T46" s="37"/>
      <c r="U46" s="37"/>
    </row>
    <row r="47" spans="1:22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9"/>
      <c r="H47" s="44" t="s">
        <v>12</v>
      </c>
      <c r="I47" s="44" t="s">
        <v>12</v>
      </c>
      <c r="L47" s="55"/>
      <c r="M47" s="37"/>
      <c r="P47" s="37"/>
      <c r="T47" s="37"/>
      <c r="U47" s="37"/>
    </row>
    <row r="48" spans="1:22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M48" s="37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9"/>
      <c r="H49" s="44" t="s">
        <v>12</v>
      </c>
      <c r="I49" s="44" t="s">
        <v>12</v>
      </c>
      <c r="L49" s="55"/>
      <c r="M49" s="37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9"/>
      <c r="H50" s="44" t="s">
        <v>12</v>
      </c>
      <c r="I50" s="44" t="s">
        <v>12</v>
      </c>
      <c r="L50" s="55"/>
      <c r="M50" s="37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9"/>
      <c r="H51" s="44" t="s">
        <v>12</v>
      </c>
      <c r="I51" s="44" t="s">
        <v>12</v>
      </c>
      <c r="L51" s="55"/>
      <c r="M51" s="37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7" t="s">
        <v>39</v>
      </c>
      <c r="B68" s="7">
        <v>1040</v>
      </c>
      <c r="C68" s="64" t="s">
        <v>152</v>
      </c>
      <c r="D68" s="40"/>
      <c r="E68" s="40"/>
      <c r="F68" s="40"/>
      <c r="G68" s="40"/>
      <c r="H68" s="40"/>
      <c r="I68" s="40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7" t="s">
        <v>46</v>
      </c>
      <c r="B75" s="7">
        <v>1050</v>
      </c>
      <c r="C75" s="64" t="s">
        <v>159</v>
      </c>
      <c r="D75" s="40" t="s">
        <v>12</v>
      </c>
      <c r="E75" s="40" t="s">
        <v>12</v>
      </c>
      <c r="F75" s="40"/>
      <c r="G75" s="40"/>
      <c r="H75" s="40" t="s">
        <v>12</v>
      </c>
      <c r="I75" s="40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7" t="s">
        <v>53</v>
      </c>
      <c r="B82" s="7">
        <v>1060</v>
      </c>
      <c r="C82" s="64" t="s">
        <v>166</v>
      </c>
      <c r="D82" s="40" t="s">
        <v>12</v>
      </c>
      <c r="E82" s="40" t="s">
        <v>12</v>
      </c>
      <c r="F82" s="40"/>
      <c r="G82" s="40"/>
      <c r="H82" s="40" t="s">
        <v>12</v>
      </c>
      <c r="I82" s="40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236000</v>
      </c>
      <c r="G89" s="29">
        <v>236000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59</v>
      </c>
      <c r="G91">
        <f>G89/4000</f>
        <v>59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2:U103"/>
  <sheetViews>
    <sheetView tabSelected="1" topLeftCell="B6" zoomScale="87" zoomScaleNormal="87" zoomScaleSheetLayoutView="70" workbookViewId="0">
      <selection activeCell="I40" sqref="I40"/>
    </sheetView>
  </sheetViews>
  <sheetFormatPr defaultRowHeight="15"/>
  <cols>
    <col min="1" max="1" width="45.42578125" customWidth="1"/>
    <col min="2" max="2" width="13" customWidth="1"/>
    <col min="3" max="3" width="10.42578125" style="70" customWidth="1"/>
    <col min="4" max="4" width="13.42578125" customWidth="1"/>
    <col min="5" max="5" width="14.85546875" customWidth="1"/>
    <col min="6" max="6" width="17.28515625" customWidth="1"/>
    <col min="7" max="7" width="19.7109375" customWidth="1"/>
    <col min="8" max="8" width="19.28515625" customWidth="1"/>
    <col min="9" max="9" width="20.85546875" customWidth="1"/>
    <col min="10" max="10" width="11.85546875" customWidth="1"/>
    <col min="11" max="11" width="11.140625" customWidth="1"/>
    <col min="12" max="12" width="13.42578125" customWidth="1"/>
    <col min="13" max="13" width="14.42578125" customWidth="1"/>
    <col min="14" max="14" width="16.7109375" customWidth="1"/>
    <col min="15" max="15" width="15.42578125" customWidth="1"/>
    <col min="18" max="18" width="11.42578125" bestFit="1" customWidth="1"/>
    <col min="21" max="21" width="12.42578125" bestFit="1" customWidth="1"/>
  </cols>
  <sheetData>
    <row r="2" spans="1:16" ht="11.25" customHeight="1">
      <c r="H2" t="s">
        <v>198</v>
      </c>
    </row>
    <row r="3" spans="1:16" hidden="1">
      <c r="A3" s="102" t="s">
        <v>0</v>
      </c>
      <c r="B3" s="102"/>
      <c r="C3" s="102"/>
      <c r="D3" s="102"/>
      <c r="E3" s="102"/>
      <c r="F3" s="102"/>
      <c r="G3" s="102"/>
      <c r="H3" s="102"/>
      <c r="I3" s="102"/>
    </row>
    <row r="4" spans="1:16" ht="15.75">
      <c r="A4" s="103" t="s">
        <v>1</v>
      </c>
      <c r="B4" s="103"/>
      <c r="C4" s="103"/>
      <c r="D4" s="103"/>
      <c r="E4" s="103"/>
      <c r="F4" s="103"/>
      <c r="G4" s="103"/>
      <c r="H4" s="103"/>
      <c r="I4" s="103"/>
    </row>
    <row r="5" spans="1:16" ht="15.75">
      <c r="A5" s="103" t="s">
        <v>2</v>
      </c>
      <c r="B5" s="103"/>
      <c r="C5" s="103"/>
      <c r="D5" s="103"/>
      <c r="E5" s="103"/>
      <c r="F5" s="103"/>
      <c r="G5" s="103"/>
      <c r="H5" s="103"/>
      <c r="I5" s="103"/>
    </row>
    <row r="6" spans="1:16" ht="15.75">
      <c r="A6" s="104" t="s">
        <v>3</v>
      </c>
      <c r="B6" s="104"/>
      <c r="C6" s="104"/>
      <c r="D6" s="104"/>
      <c r="E6" s="104"/>
      <c r="F6" s="104"/>
      <c r="G6" s="104"/>
      <c r="H6" s="104"/>
      <c r="I6" s="104"/>
    </row>
    <row r="7" spans="1:16" ht="16.5" thickBot="1">
      <c r="A7" s="104" t="s">
        <v>199</v>
      </c>
      <c r="B7" s="104"/>
      <c r="C7" s="104"/>
      <c r="D7" s="104"/>
      <c r="E7" s="104"/>
      <c r="F7" s="104"/>
      <c r="G7" s="104"/>
      <c r="H7" s="104"/>
      <c r="I7" s="104"/>
      <c r="J7" s="61" t="s">
        <v>94</v>
      </c>
      <c r="K7" s="61"/>
      <c r="L7" s="61"/>
      <c r="M7" s="61"/>
      <c r="N7" s="61"/>
    </row>
    <row r="8" spans="1:16" s="10" customFormat="1" ht="74.25" customHeight="1" thickBot="1">
      <c r="A8" s="8" t="s">
        <v>4</v>
      </c>
      <c r="B8" s="8" t="s">
        <v>5</v>
      </c>
      <c r="C8" s="62" t="s">
        <v>6</v>
      </c>
      <c r="D8" s="9" t="s">
        <v>7</v>
      </c>
      <c r="E8" s="8" t="s">
        <v>8</v>
      </c>
      <c r="F8" s="8" t="s">
        <v>9</v>
      </c>
      <c r="G8" s="8" t="s">
        <v>201</v>
      </c>
      <c r="H8" s="8" t="s">
        <v>10</v>
      </c>
      <c r="I8" s="8" t="s">
        <v>178</v>
      </c>
      <c r="J8" s="58" t="s">
        <v>79</v>
      </c>
      <c r="K8" s="58" t="s">
        <v>77</v>
      </c>
      <c r="L8" s="58" t="s">
        <v>78</v>
      </c>
      <c r="M8" s="75" t="s">
        <v>174</v>
      </c>
      <c r="N8" s="58" t="s">
        <v>63</v>
      </c>
    </row>
    <row r="9" spans="1:16" s="10" customFormat="1" ht="16.5" thickBot="1">
      <c r="A9" s="79">
        <v>1</v>
      </c>
      <c r="B9" s="79">
        <v>2</v>
      </c>
      <c r="C9" s="80">
        <v>3</v>
      </c>
      <c r="D9" s="79">
        <v>4</v>
      </c>
      <c r="E9" s="79">
        <v>5</v>
      </c>
      <c r="F9" s="79">
        <v>6</v>
      </c>
      <c r="G9" s="79">
        <v>7</v>
      </c>
      <c r="H9" s="79">
        <v>8</v>
      </c>
      <c r="I9" s="79">
        <v>9</v>
      </c>
    </row>
    <row r="10" spans="1:16" s="12" customFormat="1" ht="37.5" hidden="1" customHeight="1" thickBot="1">
      <c r="A10" s="13" t="s">
        <v>24</v>
      </c>
      <c r="B10" s="13"/>
      <c r="C10" s="63">
        <v>8</v>
      </c>
      <c r="D10" s="15"/>
      <c r="E10" s="15"/>
      <c r="F10" s="15"/>
      <c r="G10" s="15"/>
      <c r="H10" s="15"/>
      <c r="I10" s="15"/>
    </row>
    <row r="11" spans="1:16" s="10" customFormat="1" ht="17.25" hidden="1" customHeight="1" thickBot="1">
      <c r="A11" s="7" t="s">
        <v>25</v>
      </c>
      <c r="B11" s="7">
        <v>1</v>
      </c>
      <c r="C11" s="64" t="s">
        <v>95</v>
      </c>
      <c r="D11" s="40"/>
      <c r="E11" s="40"/>
      <c r="F11" s="40" t="s">
        <v>12</v>
      </c>
      <c r="G11" s="40" t="s">
        <v>12</v>
      </c>
      <c r="H11" s="40"/>
      <c r="I11" s="40"/>
    </row>
    <row r="12" spans="1:16" s="10" customFormat="1" ht="17.25" hidden="1" customHeight="1" thickBot="1">
      <c r="A12" s="7" t="s">
        <v>26</v>
      </c>
      <c r="B12" s="7">
        <v>10</v>
      </c>
      <c r="C12" s="64" t="s">
        <v>96</v>
      </c>
      <c r="D12" s="40"/>
      <c r="E12" s="40"/>
      <c r="F12" s="40" t="s">
        <v>12</v>
      </c>
      <c r="G12" s="40" t="s">
        <v>12</v>
      </c>
      <c r="H12" s="40"/>
      <c r="I12" s="40"/>
    </row>
    <row r="13" spans="1:16" s="10" customFormat="1" ht="51.75" hidden="1" customHeight="1" thickBot="1">
      <c r="A13" s="28" t="s">
        <v>27</v>
      </c>
      <c r="B13" s="28">
        <v>101</v>
      </c>
      <c r="C13" s="69" t="s">
        <v>97</v>
      </c>
      <c r="D13" s="29"/>
      <c r="E13" s="29"/>
      <c r="F13" s="29"/>
      <c r="G13" s="29"/>
      <c r="H13" s="29"/>
      <c r="I13" s="29"/>
      <c r="K13" s="9" t="s">
        <v>7</v>
      </c>
      <c r="L13" s="8" t="s">
        <v>8</v>
      </c>
      <c r="M13" s="8" t="s">
        <v>9</v>
      </c>
      <c r="N13" s="8" t="s">
        <v>60</v>
      </c>
      <c r="O13" s="8" t="s">
        <v>10</v>
      </c>
      <c r="P13" s="8" t="s">
        <v>11</v>
      </c>
    </row>
    <row r="14" spans="1:16" s="10" customFormat="1" ht="18.600000000000001" hidden="1" customHeight="1" thickBot="1">
      <c r="A14" s="11" t="s">
        <v>13</v>
      </c>
      <c r="B14" s="11">
        <v>102</v>
      </c>
      <c r="C14" s="68" t="s">
        <v>98</v>
      </c>
      <c r="D14" s="44"/>
      <c r="E14" s="44"/>
      <c r="F14" s="44"/>
      <c r="G14" s="44"/>
      <c r="H14" s="44"/>
      <c r="I14" s="44"/>
      <c r="J14" s="10" t="s">
        <v>88</v>
      </c>
      <c r="K14" s="10">
        <f>D15+D19+D22</f>
        <v>0</v>
      </c>
      <c r="L14" s="10">
        <f t="shared" ref="L14:P14" si="0">E15+E19+E22</f>
        <v>0</v>
      </c>
      <c r="M14" s="10">
        <f t="shared" si="0"/>
        <v>0</v>
      </c>
      <c r="N14" s="10">
        <f t="shared" si="0"/>
        <v>0</v>
      </c>
      <c r="O14" s="10">
        <f t="shared" si="0"/>
        <v>0</v>
      </c>
      <c r="P14" s="10">
        <f t="shared" si="0"/>
        <v>0</v>
      </c>
    </row>
    <row r="15" spans="1:16" s="10" customFormat="1" ht="18.600000000000001" hidden="1" customHeight="1" thickBot="1">
      <c r="A15" s="11" t="s">
        <v>14</v>
      </c>
      <c r="B15" s="11">
        <v>126</v>
      </c>
      <c r="C15" s="68" t="s">
        <v>99</v>
      </c>
      <c r="D15" s="44"/>
      <c r="E15" s="44"/>
      <c r="F15" s="44"/>
      <c r="G15" s="44"/>
      <c r="H15" s="44"/>
      <c r="I15" s="44"/>
      <c r="J15" s="10" t="s">
        <v>89</v>
      </c>
      <c r="K15" s="10">
        <f>D16+D20+D23</f>
        <v>0</v>
      </c>
      <c r="L15" s="10">
        <f t="shared" ref="L15:P15" si="1">E16+E20+E23</f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0</v>
      </c>
    </row>
    <row r="16" spans="1:16" s="10" customFormat="1" ht="18.600000000000001" hidden="1" customHeight="1" thickBot="1">
      <c r="A16" s="11" t="s">
        <v>28</v>
      </c>
      <c r="B16" s="11">
        <v>145</v>
      </c>
      <c r="C16" s="68" t="s">
        <v>100</v>
      </c>
      <c r="D16" s="44"/>
      <c r="E16" s="44"/>
      <c r="F16" s="44"/>
      <c r="G16" s="44"/>
      <c r="H16" s="44"/>
      <c r="I16" s="44"/>
      <c r="J16" s="10" t="s">
        <v>20</v>
      </c>
      <c r="K16" s="10">
        <f>D24</f>
        <v>0</v>
      </c>
      <c r="L16" s="10">
        <f t="shared" ref="L16:P16" si="2">E24</f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10">
        <f t="shared" si="2"/>
        <v>0</v>
      </c>
    </row>
    <row r="17" spans="1:16" s="10" customFormat="1" ht="18.600000000000001" hidden="1" customHeight="1" thickBot="1">
      <c r="A17" s="11" t="s">
        <v>16</v>
      </c>
      <c r="B17" s="11">
        <v>146</v>
      </c>
      <c r="C17" s="68" t="s">
        <v>101</v>
      </c>
      <c r="D17" s="44"/>
      <c r="E17" s="44"/>
      <c r="F17" s="44"/>
      <c r="G17" s="44"/>
      <c r="H17" s="44"/>
      <c r="I17" s="44"/>
      <c r="J17" s="10" t="s">
        <v>90</v>
      </c>
      <c r="K17" s="10">
        <f>K14+K15+K16</f>
        <v>0</v>
      </c>
      <c r="L17" s="10">
        <f t="shared" ref="L17:P17" si="3">L14+L15+L16</f>
        <v>0</v>
      </c>
      <c r="M17" s="10">
        <f t="shared" si="3"/>
        <v>0</v>
      </c>
      <c r="N17" s="10">
        <f t="shared" si="3"/>
        <v>0</v>
      </c>
      <c r="O17" s="10">
        <f t="shared" si="3"/>
        <v>0</v>
      </c>
      <c r="P17" s="10">
        <f t="shared" si="3"/>
        <v>0</v>
      </c>
    </row>
    <row r="18" spans="1:16" s="10" customFormat="1" ht="18.600000000000001" hidden="1" customHeight="1" thickBot="1">
      <c r="A18" s="11" t="s">
        <v>17</v>
      </c>
      <c r="B18" s="11">
        <v>103</v>
      </c>
      <c r="C18" s="68" t="s">
        <v>102</v>
      </c>
      <c r="D18" s="44"/>
      <c r="E18" s="44"/>
      <c r="F18" s="44"/>
      <c r="G18" s="44"/>
      <c r="H18" s="44"/>
      <c r="I18" s="44"/>
      <c r="J18" s="10" t="s">
        <v>91</v>
      </c>
      <c r="K18" s="10">
        <f>D13-K17</f>
        <v>0</v>
      </c>
      <c r="L18" s="10">
        <f t="shared" ref="L18:P18" si="4">E13-L17</f>
        <v>0</v>
      </c>
      <c r="M18" s="10">
        <f t="shared" si="4"/>
        <v>0</v>
      </c>
      <c r="N18" s="10">
        <f t="shared" si="4"/>
        <v>0</v>
      </c>
      <c r="O18" s="10">
        <f t="shared" si="4"/>
        <v>0</v>
      </c>
      <c r="P18" s="10">
        <f t="shared" si="4"/>
        <v>0</v>
      </c>
    </row>
    <row r="19" spans="1:16" s="10" customFormat="1" ht="18.600000000000001" hidden="1" customHeight="1" thickBot="1">
      <c r="A19" s="11" t="s">
        <v>14</v>
      </c>
      <c r="B19" s="11">
        <v>126</v>
      </c>
      <c r="C19" s="68" t="s">
        <v>103</v>
      </c>
      <c r="D19" s="44"/>
      <c r="E19" s="44"/>
      <c r="F19" s="44"/>
      <c r="G19" s="44"/>
      <c r="H19" s="44"/>
      <c r="I19" s="44"/>
    </row>
    <row r="20" spans="1:16" s="10" customFormat="1" ht="18.600000000000001" hidden="1" customHeight="1" thickBot="1">
      <c r="A20" s="11" t="s">
        <v>18</v>
      </c>
      <c r="B20" s="11">
        <v>145</v>
      </c>
      <c r="C20" s="68" t="s">
        <v>104</v>
      </c>
      <c r="D20" s="44"/>
      <c r="E20" s="44"/>
      <c r="F20" s="44"/>
      <c r="G20" s="44"/>
      <c r="H20" s="44"/>
      <c r="I20" s="44"/>
    </row>
    <row r="21" spans="1:16" s="10" customFormat="1" ht="18.600000000000001" hidden="1" customHeight="1" thickBot="1">
      <c r="A21" s="11" t="s">
        <v>19</v>
      </c>
      <c r="B21" s="11">
        <v>104</v>
      </c>
      <c r="C21" s="68" t="s">
        <v>105</v>
      </c>
      <c r="D21" s="44"/>
      <c r="E21" s="44"/>
      <c r="F21" s="44"/>
      <c r="G21" s="44"/>
      <c r="H21" s="44"/>
      <c r="I21" s="44"/>
    </row>
    <row r="22" spans="1:16" s="10" customFormat="1" ht="18.600000000000001" hidden="1" customHeight="1" thickBot="1">
      <c r="A22" s="11" t="s">
        <v>14</v>
      </c>
      <c r="B22" s="11">
        <v>126</v>
      </c>
      <c r="C22" s="68" t="s">
        <v>106</v>
      </c>
      <c r="D22" s="44"/>
      <c r="E22" s="44"/>
      <c r="F22" s="44"/>
      <c r="G22" s="44"/>
      <c r="H22" s="44"/>
      <c r="I22" s="44"/>
    </row>
    <row r="23" spans="1:16" s="10" customFormat="1" ht="18.600000000000001" hidden="1" customHeight="1" thickBot="1">
      <c r="A23" s="11" t="s">
        <v>18</v>
      </c>
      <c r="B23" s="11">
        <v>145</v>
      </c>
      <c r="C23" s="68" t="s">
        <v>107</v>
      </c>
      <c r="D23" s="44"/>
      <c r="E23" s="44"/>
      <c r="F23" s="44"/>
      <c r="G23" s="44"/>
      <c r="H23" s="44"/>
      <c r="I23" s="44"/>
    </row>
    <row r="24" spans="1:16" s="10" customFormat="1" ht="18.600000000000001" hidden="1" customHeight="1" thickBot="1">
      <c r="A24" s="11" t="s">
        <v>20</v>
      </c>
      <c r="B24" s="11">
        <v>177</v>
      </c>
      <c r="C24" s="68" t="s">
        <v>108</v>
      </c>
      <c r="D24" s="44"/>
      <c r="E24" s="44"/>
      <c r="F24" s="44"/>
      <c r="G24" s="44"/>
      <c r="H24" s="44"/>
      <c r="I24" s="44"/>
    </row>
    <row r="25" spans="1:16" s="10" customFormat="1" ht="35.25" hidden="1" customHeight="1" thickBot="1">
      <c r="A25" s="28" t="s">
        <v>21</v>
      </c>
      <c r="B25" s="28">
        <v>100</v>
      </c>
      <c r="C25" s="69" t="s">
        <v>109</v>
      </c>
      <c r="D25" s="29">
        <f>D26+D30+D33</f>
        <v>0</v>
      </c>
      <c r="E25" s="29">
        <f>E26+E30+E33</f>
        <v>0</v>
      </c>
      <c r="F25" s="29" t="s">
        <v>12</v>
      </c>
      <c r="G25" s="29">
        <f t="shared" ref="G25:I25" si="5">G26+G30+G33</f>
        <v>0</v>
      </c>
      <c r="H25" s="29">
        <f t="shared" si="5"/>
        <v>0</v>
      </c>
      <c r="I25" s="29">
        <f t="shared" si="5"/>
        <v>0</v>
      </c>
      <c r="K25" s="9" t="s">
        <v>7</v>
      </c>
      <c r="L25" s="8" t="s">
        <v>8</v>
      </c>
      <c r="M25" s="8" t="s">
        <v>9</v>
      </c>
      <c r="N25" s="8" t="s">
        <v>60</v>
      </c>
      <c r="O25" s="8" t="s">
        <v>10</v>
      </c>
      <c r="P25" s="8" t="s">
        <v>11</v>
      </c>
    </row>
    <row r="26" spans="1:16" s="10" customFormat="1" ht="18.600000000000001" hidden="1" customHeight="1" thickBot="1">
      <c r="A26" s="11" t="s">
        <v>13</v>
      </c>
      <c r="B26" s="11">
        <v>105</v>
      </c>
      <c r="C26" s="68" t="s">
        <v>110</v>
      </c>
      <c r="D26" s="44"/>
      <c r="E26" s="44"/>
      <c r="F26" s="44" t="s">
        <v>12</v>
      </c>
      <c r="G26" s="44"/>
      <c r="H26" s="44"/>
      <c r="I26" s="44"/>
      <c r="J26" s="10" t="s">
        <v>88</v>
      </c>
      <c r="K26" s="10">
        <f>D27+D31+D34</f>
        <v>0</v>
      </c>
      <c r="L26" s="10">
        <f t="shared" ref="L26:P26" si="6">E27+E31+E34</f>
        <v>0</v>
      </c>
      <c r="M26" s="10" t="e">
        <f t="shared" si="6"/>
        <v>#VALUE!</v>
      </c>
      <c r="N26" s="10">
        <f t="shared" si="6"/>
        <v>0</v>
      </c>
      <c r="O26" s="10">
        <f t="shared" si="6"/>
        <v>0</v>
      </c>
      <c r="P26" s="10">
        <f t="shared" si="6"/>
        <v>0</v>
      </c>
    </row>
    <row r="27" spans="1:16" s="10" customFormat="1" ht="18.600000000000001" hidden="1" customHeight="1" thickBot="1">
      <c r="A27" s="11" t="s">
        <v>14</v>
      </c>
      <c r="B27" s="11">
        <v>120</v>
      </c>
      <c r="C27" s="68" t="s">
        <v>111</v>
      </c>
      <c r="D27" s="44"/>
      <c r="E27" s="44"/>
      <c r="F27" s="44" t="s">
        <v>12</v>
      </c>
      <c r="G27" s="44"/>
      <c r="H27" s="44"/>
      <c r="I27" s="44"/>
      <c r="J27" s="10" t="s">
        <v>89</v>
      </c>
      <c r="K27" s="10">
        <f>D28+D32+D35</f>
        <v>0</v>
      </c>
      <c r="L27" s="10">
        <f t="shared" ref="L27:P27" si="7">E28+E32+E35</f>
        <v>0</v>
      </c>
      <c r="M27" s="10" t="e">
        <f t="shared" si="7"/>
        <v>#VALUE!</v>
      </c>
      <c r="N27" s="10">
        <f t="shared" si="7"/>
        <v>0</v>
      </c>
      <c r="O27" s="10">
        <f t="shared" si="7"/>
        <v>0</v>
      </c>
      <c r="P27" s="10">
        <f t="shared" si="7"/>
        <v>0</v>
      </c>
    </row>
    <row r="28" spans="1:16" s="10" customFormat="1" ht="18.600000000000001" hidden="1" customHeight="1" thickBot="1">
      <c r="A28" s="11" t="s">
        <v>15</v>
      </c>
      <c r="B28" s="11">
        <v>140</v>
      </c>
      <c r="C28" s="68" t="s">
        <v>112</v>
      </c>
      <c r="D28" s="44"/>
      <c r="E28" s="44"/>
      <c r="F28" s="44" t="s">
        <v>12</v>
      </c>
      <c r="G28" s="44"/>
      <c r="H28" s="44"/>
      <c r="I28" s="44"/>
      <c r="J28" s="10" t="s">
        <v>20</v>
      </c>
      <c r="K28" s="10">
        <f>D36</f>
        <v>0</v>
      </c>
      <c r="L28" s="10">
        <f t="shared" ref="L28:P28" si="8">E36</f>
        <v>0</v>
      </c>
      <c r="M28" s="10" t="str">
        <f t="shared" si="8"/>
        <v>x</v>
      </c>
      <c r="N28" s="10">
        <f t="shared" si="8"/>
        <v>0</v>
      </c>
      <c r="O28" s="10">
        <f t="shared" si="8"/>
        <v>0</v>
      </c>
      <c r="P28" s="10">
        <f t="shared" si="8"/>
        <v>0</v>
      </c>
    </row>
    <row r="29" spans="1:16" s="10" customFormat="1" ht="18.600000000000001" hidden="1" customHeight="1" thickBot="1">
      <c r="A29" s="11" t="s">
        <v>16</v>
      </c>
      <c r="B29" s="11">
        <v>147</v>
      </c>
      <c r="C29" s="68" t="s">
        <v>113</v>
      </c>
      <c r="D29" s="44"/>
      <c r="E29" s="44"/>
      <c r="F29" s="44" t="s">
        <v>12</v>
      </c>
      <c r="G29" s="44"/>
      <c r="H29" s="44"/>
      <c r="I29" s="44"/>
      <c r="J29" s="10" t="s">
        <v>90</v>
      </c>
      <c r="K29" s="10">
        <f>K26+K27+K28</f>
        <v>0</v>
      </c>
      <c r="L29" s="10">
        <f t="shared" ref="L29:P29" si="9">L26+L27+L28</f>
        <v>0</v>
      </c>
      <c r="M29" s="10" t="e">
        <f t="shared" si="9"/>
        <v>#VALUE!</v>
      </c>
      <c r="N29" s="10">
        <f t="shared" si="9"/>
        <v>0</v>
      </c>
      <c r="O29" s="10">
        <f t="shared" si="9"/>
        <v>0</v>
      </c>
      <c r="P29" s="10">
        <f t="shared" si="9"/>
        <v>0</v>
      </c>
    </row>
    <row r="30" spans="1:16" s="10" customFormat="1" ht="18.600000000000001" hidden="1" customHeight="1" thickBot="1">
      <c r="A30" s="11" t="s">
        <v>17</v>
      </c>
      <c r="B30" s="11">
        <v>106</v>
      </c>
      <c r="C30" s="68" t="s">
        <v>114</v>
      </c>
      <c r="D30" s="44"/>
      <c r="E30" s="44"/>
      <c r="F30" s="44" t="s">
        <v>12</v>
      </c>
      <c r="G30" s="44"/>
      <c r="H30" s="44"/>
      <c r="I30" s="44"/>
      <c r="J30" s="10" t="s">
        <v>91</v>
      </c>
      <c r="K30" s="10">
        <f>K29-D25</f>
        <v>0</v>
      </c>
      <c r="L30" s="10">
        <f t="shared" ref="L30:P30" si="10">L29-E25</f>
        <v>0</v>
      </c>
      <c r="M30" s="10" t="e">
        <f t="shared" si="10"/>
        <v>#VALUE!</v>
      </c>
      <c r="N30" s="10">
        <f t="shared" si="10"/>
        <v>0</v>
      </c>
      <c r="O30" s="10">
        <f t="shared" si="10"/>
        <v>0</v>
      </c>
      <c r="P30" s="10">
        <f t="shared" si="10"/>
        <v>0</v>
      </c>
    </row>
    <row r="31" spans="1:16" s="10" customFormat="1" ht="18.600000000000001" hidden="1" customHeight="1" thickBot="1">
      <c r="A31" s="11" t="s">
        <v>14</v>
      </c>
      <c r="B31" s="11">
        <v>120</v>
      </c>
      <c r="C31" s="68" t="s">
        <v>115</v>
      </c>
      <c r="D31" s="44"/>
      <c r="E31" s="44"/>
      <c r="F31" s="44" t="s">
        <v>12</v>
      </c>
      <c r="G31" s="44"/>
      <c r="H31" s="44"/>
      <c r="I31" s="44"/>
    </row>
    <row r="32" spans="1:16" s="10" customFormat="1" ht="18.600000000000001" hidden="1" customHeight="1" thickBot="1">
      <c r="A32" s="11" t="s">
        <v>18</v>
      </c>
      <c r="B32" s="11">
        <v>140</v>
      </c>
      <c r="C32" s="68" t="s">
        <v>116</v>
      </c>
      <c r="D32" s="44"/>
      <c r="E32" s="44"/>
      <c r="F32" s="44" t="s">
        <v>12</v>
      </c>
      <c r="G32" s="44"/>
      <c r="H32" s="44"/>
      <c r="I32" s="44"/>
    </row>
    <row r="33" spans="1:21" s="10" customFormat="1" ht="18.600000000000001" hidden="1" customHeight="1" thickBot="1">
      <c r="A33" s="11" t="s">
        <v>19</v>
      </c>
      <c r="B33" s="11">
        <v>107</v>
      </c>
      <c r="C33" s="68" t="s">
        <v>117</v>
      </c>
      <c r="D33" s="44"/>
      <c r="E33" s="44"/>
      <c r="F33" s="44" t="s">
        <v>12</v>
      </c>
      <c r="G33" s="44"/>
      <c r="H33" s="44"/>
      <c r="I33" s="44"/>
    </row>
    <row r="34" spans="1:21" s="10" customFormat="1" ht="18.600000000000001" hidden="1" customHeight="1" thickBot="1">
      <c r="A34" s="11" t="s">
        <v>14</v>
      </c>
      <c r="B34" s="11">
        <v>120</v>
      </c>
      <c r="C34" s="68" t="s">
        <v>118</v>
      </c>
      <c r="D34" s="44"/>
      <c r="E34" s="44"/>
      <c r="F34" s="44" t="s">
        <v>12</v>
      </c>
      <c r="G34" s="44"/>
      <c r="H34" s="44"/>
      <c r="I34" s="44"/>
    </row>
    <row r="35" spans="1:21" s="10" customFormat="1" ht="18.600000000000001" hidden="1" customHeight="1" thickBot="1">
      <c r="A35" s="11" t="s">
        <v>18</v>
      </c>
      <c r="B35" s="11">
        <v>140</v>
      </c>
      <c r="C35" s="68" t="s">
        <v>119</v>
      </c>
      <c r="D35" s="44"/>
      <c r="E35" s="44"/>
      <c r="F35" s="44" t="s">
        <v>12</v>
      </c>
      <c r="G35" s="44"/>
      <c r="H35" s="44"/>
      <c r="I35" s="44"/>
    </row>
    <row r="36" spans="1:21" s="10" customFormat="1" ht="18.600000000000001" hidden="1" customHeight="1" thickBot="1">
      <c r="A36" s="11" t="s">
        <v>20</v>
      </c>
      <c r="B36" s="11">
        <v>175</v>
      </c>
      <c r="C36" s="68" t="s">
        <v>120</v>
      </c>
      <c r="D36" s="44"/>
      <c r="E36" s="44"/>
      <c r="F36" s="44" t="s">
        <v>12</v>
      </c>
      <c r="G36" s="44"/>
      <c r="H36" s="44"/>
      <c r="I36" s="44"/>
    </row>
    <row r="37" spans="1:21" s="10" customFormat="1" ht="60" customHeight="1" thickBot="1">
      <c r="A37" s="28" t="s">
        <v>22</v>
      </c>
      <c r="B37" s="28">
        <v>108</v>
      </c>
      <c r="C37" s="69" t="s">
        <v>121</v>
      </c>
      <c r="D37" s="91">
        <f>D38+D39</f>
        <v>78</v>
      </c>
      <c r="E37" s="91">
        <f>E38+E39</f>
        <v>85</v>
      </c>
      <c r="F37" s="29" t="s">
        <v>12</v>
      </c>
      <c r="G37" s="29" t="s">
        <v>12</v>
      </c>
      <c r="H37" s="91">
        <f t="shared" ref="H37" si="11">H38+H39</f>
        <v>78</v>
      </c>
      <c r="I37" s="91">
        <f>I38+I39</f>
        <v>70</v>
      </c>
      <c r="K37" s="97"/>
      <c r="R37" s="37"/>
    </row>
    <row r="38" spans="1:21" s="10" customFormat="1" ht="18.600000000000001" customHeight="1" thickBot="1">
      <c r="A38" s="11" t="s">
        <v>29</v>
      </c>
      <c r="B38" s="11">
        <v>120</v>
      </c>
      <c r="C38" s="81" t="s">
        <v>122</v>
      </c>
      <c r="D38" s="44">
        <v>6</v>
      </c>
      <c r="E38" s="82">
        <v>6</v>
      </c>
      <c r="F38" s="44" t="s">
        <v>12</v>
      </c>
      <c r="G38" s="44" t="s">
        <v>12</v>
      </c>
      <c r="H38" s="44">
        <f>D38</f>
        <v>6</v>
      </c>
      <c r="I38" s="82">
        <v>6</v>
      </c>
      <c r="K38" s="97"/>
    </row>
    <row r="39" spans="1:21" s="10" customFormat="1" ht="18.600000000000001" customHeight="1" thickBot="1">
      <c r="A39" s="11" t="s">
        <v>30</v>
      </c>
      <c r="B39" s="11">
        <v>140</v>
      </c>
      <c r="C39" s="81" t="s">
        <v>123</v>
      </c>
      <c r="D39" s="44">
        <v>72</v>
      </c>
      <c r="E39" s="82">
        <v>79</v>
      </c>
      <c r="F39" s="44" t="s">
        <v>12</v>
      </c>
      <c r="G39" s="44" t="s">
        <v>12</v>
      </c>
      <c r="H39" s="86">
        <f>D39</f>
        <v>72</v>
      </c>
      <c r="I39" s="82">
        <v>64</v>
      </c>
      <c r="K39" s="97"/>
      <c r="N39" s="37"/>
    </row>
    <row r="40" spans="1:21" s="10" customFormat="1" ht="38.25" customHeight="1" thickBot="1">
      <c r="A40" s="28" t="s">
        <v>31</v>
      </c>
      <c r="B40" s="28">
        <v>500</v>
      </c>
      <c r="C40" s="69" t="s">
        <v>124</v>
      </c>
      <c r="D40" s="29" t="s">
        <v>12</v>
      </c>
      <c r="E40" s="29" t="s">
        <v>12</v>
      </c>
      <c r="F40" s="39">
        <f>F41+F45+F48</f>
        <v>0</v>
      </c>
      <c r="G40" s="39">
        <f>G41+G45+G48</f>
        <v>0</v>
      </c>
      <c r="H40" s="29" t="s">
        <v>12</v>
      </c>
      <c r="I40" s="29" t="s">
        <v>12</v>
      </c>
      <c r="L40" s="55"/>
      <c r="P40" s="37"/>
      <c r="T40" s="37"/>
      <c r="U40" s="37"/>
    </row>
    <row r="41" spans="1:21" s="10" customFormat="1" ht="18.600000000000001" customHeight="1" thickBot="1">
      <c r="A41" s="11" t="s">
        <v>13</v>
      </c>
      <c r="B41" s="11">
        <v>501</v>
      </c>
      <c r="C41" s="68" t="s">
        <v>125</v>
      </c>
      <c r="D41" s="44" t="s">
        <v>12</v>
      </c>
      <c r="E41" s="44" t="s">
        <v>12</v>
      </c>
      <c r="F41" s="49"/>
      <c r="G41" s="49"/>
      <c r="H41" s="44" t="s">
        <v>12</v>
      </c>
      <c r="I41" s="44" t="s">
        <v>12</v>
      </c>
      <c r="L41" s="55"/>
      <c r="P41" s="37"/>
      <c r="T41" s="37"/>
      <c r="U41" s="37"/>
    </row>
    <row r="42" spans="1:21" s="10" customFormat="1" ht="18.600000000000001" customHeight="1" thickBot="1">
      <c r="A42" s="11" t="s">
        <v>14</v>
      </c>
      <c r="B42" s="11">
        <v>510</v>
      </c>
      <c r="C42" s="68" t="s">
        <v>126</v>
      </c>
      <c r="D42" s="44" t="s">
        <v>12</v>
      </c>
      <c r="E42" s="44" t="s">
        <v>12</v>
      </c>
      <c r="F42" s="49"/>
      <c r="G42" s="44"/>
      <c r="H42" s="44" t="s">
        <v>12</v>
      </c>
      <c r="I42" s="44" t="s">
        <v>12</v>
      </c>
      <c r="L42" s="55"/>
      <c r="P42" s="37"/>
      <c r="T42" s="37"/>
      <c r="U42" s="37"/>
    </row>
    <row r="43" spans="1:21" s="10" customFormat="1" ht="18.600000000000001" customHeight="1" thickBot="1">
      <c r="A43" s="11" t="s">
        <v>15</v>
      </c>
      <c r="B43" s="11">
        <v>540</v>
      </c>
      <c r="C43" s="68" t="s">
        <v>127</v>
      </c>
      <c r="D43" s="44" t="s">
        <v>12</v>
      </c>
      <c r="E43" s="44" t="s">
        <v>12</v>
      </c>
      <c r="F43" s="49"/>
      <c r="G43" s="44"/>
      <c r="H43" s="44" t="s">
        <v>12</v>
      </c>
      <c r="I43" s="44" t="s">
        <v>12</v>
      </c>
      <c r="L43" s="55"/>
      <c r="P43" s="37"/>
      <c r="T43" s="37"/>
      <c r="U43" s="37"/>
    </row>
    <row r="44" spans="1:21" s="10" customFormat="1" ht="18.600000000000001" customHeight="1" thickBot="1">
      <c r="A44" s="11" t="s">
        <v>16</v>
      </c>
      <c r="B44" s="11">
        <v>148</v>
      </c>
      <c r="C44" s="68" t="s">
        <v>128</v>
      </c>
      <c r="D44" s="44" t="s">
        <v>12</v>
      </c>
      <c r="E44" s="44" t="s">
        <v>12</v>
      </c>
      <c r="F44" s="49"/>
      <c r="G44" s="44"/>
      <c r="H44" s="44" t="s">
        <v>12</v>
      </c>
      <c r="I44" s="44" t="s">
        <v>12</v>
      </c>
      <c r="L44" s="55"/>
      <c r="P44" s="37"/>
      <c r="T44" s="37"/>
      <c r="U44" s="37"/>
    </row>
    <row r="45" spans="1:21" s="10" customFormat="1" ht="18.600000000000001" customHeight="1" thickBot="1">
      <c r="A45" s="11" t="s">
        <v>17</v>
      </c>
      <c r="B45" s="11">
        <v>502</v>
      </c>
      <c r="C45" s="68" t="s">
        <v>129</v>
      </c>
      <c r="D45" s="44" t="s">
        <v>12</v>
      </c>
      <c r="E45" s="44" t="s">
        <v>12</v>
      </c>
      <c r="F45" s="49"/>
      <c r="G45" s="49"/>
      <c r="H45" s="44" t="s">
        <v>12</v>
      </c>
      <c r="I45" s="44" t="s">
        <v>12</v>
      </c>
      <c r="L45" s="55"/>
      <c r="P45" s="37"/>
      <c r="T45" s="37"/>
      <c r="U45" s="37"/>
    </row>
    <row r="46" spans="1:21" s="10" customFormat="1" ht="18.600000000000001" customHeight="1" thickBot="1">
      <c r="A46" s="11" t="s">
        <v>14</v>
      </c>
      <c r="B46" s="11">
        <v>510</v>
      </c>
      <c r="C46" s="68" t="s">
        <v>130</v>
      </c>
      <c r="D46" s="44" t="s">
        <v>12</v>
      </c>
      <c r="E46" s="44" t="s">
        <v>12</v>
      </c>
      <c r="F46" s="49"/>
      <c r="G46" s="49"/>
      <c r="H46" s="44" t="s">
        <v>12</v>
      </c>
      <c r="I46" s="44" t="s">
        <v>12</v>
      </c>
      <c r="L46" s="55"/>
      <c r="P46" s="37"/>
      <c r="T46" s="37"/>
      <c r="U46" s="37"/>
    </row>
    <row r="47" spans="1:21" s="10" customFormat="1" ht="18.600000000000001" customHeight="1" thickBot="1">
      <c r="A47" s="11" t="s">
        <v>18</v>
      </c>
      <c r="B47" s="11">
        <v>540</v>
      </c>
      <c r="C47" s="68" t="s">
        <v>131</v>
      </c>
      <c r="D47" s="44" t="s">
        <v>12</v>
      </c>
      <c r="E47" s="44" t="s">
        <v>12</v>
      </c>
      <c r="F47" s="49"/>
      <c r="G47" s="44"/>
      <c r="H47" s="44" t="s">
        <v>12</v>
      </c>
      <c r="I47" s="44" t="s">
        <v>12</v>
      </c>
      <c r="L47" s="55"/>
      <c r="P47" s="37"/>
      <c r="T47" s="37"/>
      <c r="U47" s="37"/>
    </row>
    <row r="48" spans="1:21" s="10" customFormat="1" ht="18.600000000000001" customHeight="1" thickBot="1">
      <c r="A48" s="11" t="s">
        <v>19</v>
      </c>
      <c r="B48" s="11">
        <v>503</v>
      </c>
      <c r="C48" s="68" t="s">
        <v>132</v>
      </c>
      <c r="D48" s="44" t="s">
        <v>12</v>
      </c>
      <c r="E48" s="44" t="s">
        <v>12</v>
      </c>
      <c r="F48" s="49"/>
      <c r="G48" s="49"/>
      <c r="H48" s="44" t="s">
        <v>12</v>
      </c>
      <c r="I48" s="44" t="s">
        <v>12</v>
      </c>
      <c r="L48" s="55"/>
      <c r="P48" s="37"/>
      <c r="T48" s="37"/>
      <c r="U48" s="37"/>
    </row>
    <row r="49" spans="1:21" s="10" customFormat="1" ht="18.600000000000001" customHeight="1" thickBot="1">
      <c r="A49" s="11" t="s">
        <v>14</v>
      </c>
      <c r="B49" s="11">
        <v>510</v>
      </c>
      <c r="C49" s="68" t="s">
        <v>133</v>
      </c>
      <c r="D49" s="44" t="s">
        <v>12</v>
      </c>
      <c r="E49" s="44" t="s">
        <v>12</v>
      </c>
      <c r="F49" s="49"/>
      <c r="G49" s="44"/>
      <c r="H49" s="44" t="s">
        <v>12</v>
      </c>
      <c r="I49" s="44" t="s">
        <v>12</v>
      </c>
      <c r="L49" s="55"/>
      <c r="P49" s="37"/>
      <c r="T49" s="37"/>
      <c r="U49" s="37"/>
    </row>
    <row r="50" spans="1:21" s="10" customFormat="1" ht="18.600000000000001" customHeight="1" thickBot="1">
      <c r="A50" s="11" t="s">
        <v>18</v>
      </c>
      <c r="B50" s="11">
        <v>540</v>
      </c>
      <c r="C50" s="68" t="s">
        <v>134</v>
      </c>
      <c r="D50" s="44" t="s">
        <v>12</v>
      </c>
      <c r="E50" s="44" t="s">
        <v>12</v>
      </c>
      <c r="F50" s="49"/>
      <c r="G50" s="44"/>
      <c r="H50" s="44" t="s">
        <v>12</v>
      </c>
      <c r="I50" s="44" t="s">
        <v>12</v>
      </c>
      <c r="L50" s="55"/>
      <c r="P50" s="37"/>
      <c r="T50" s="37"/>
      <c r="U50" s="37"/>
    </row>
    <row r="51" spans="1:21" s="10" customFormat="1" ht="18.600000000000001" customHeight="1" thickBot="1">
      <c r="A51" s="11" t="s">
        <v>20</v>
      </c>
      <c r="B51" s="11">
        <v>555</v>
      </c>
      <c r="C51" s="68" t="s">
        <v>135</v>
      </c>
      <c r="D51" s="44" t="s">
        <v>12</v>
      </c>
      <c r="E51" s="44" t="s">
        <v>12</v>
      </c>
      <c r="F51" s="49"/>
      <c r="G51" s="44"/>
      <c r="H51" s="44" t="s">
        <v>12</v>
      </c>
      <c r="I51" s="44" t="s">
        <v>12</v>
      </c>
      <c r="L51" s="55"/>
      <c r="P51" s="37"/>
      <c r="T51" s="37"/>
      <c r="U51" s="37"/>
    </row>
    <row r="52" spans="1:21" s="10" customFormat="1" ht="40.5" hidden="1" customHeight="1" thickBot="1">
      <c r="A52" s="28" t="s">
        <v>32</v>
      </c>
      <c r="B52" s="28">
        <v>1100</v>
      </c>
      <c r="C52" s="69" t="s">
        <v>136</v>
      </c>
      <c r="D52" s="29"/>
      <c r="E52" s="29"/>
      <c r="F52" s="29"/>
      <c r="G52" s="29"/>
      <c r="H52" s="29"/>
      <c r="I52" s="29"/>
    </row>
    <row r="53" spans="1:21" s="10" customFormat="1" ht="18.600000000000001" hidden="1" customHeight="1" thickBot="1">
      <c r="A53" s="11" t="s">
        <v>33</v>
      </c>
      <c r="B53" s="11">
        <v>1101</v>
      </c>
      <c r="C53" s="68" t="s">
        <v>137</v>
      </c>
      <c r="D53" s="44"/>
      <c r="E53" s="44"/>
      <c r="F53" s="44"/>
      <c r="G53" s="44"/>
      <c r="H53" s="44"/>
      <c r="I53" s="44"/>
    </row>
    <row r="54" spans="1:21" s="10" customFormat="1" ht="18.600000000000001" hidden="1" customHeight="1" thickBot="1">
      <c r="A54" s="11" t="s">
        <v>34</v>
      </c>
      <c r="B54" s="11">
        <v>1102</v>
      </c>
      <c r="C54" s="68" t="s">
        <v>138</v>
      </c>
      <c r="D54" s="44"/>
      <c r="E54" s="44"/>
      <c r="F54" s="44"/>
      <c r="G54" s="44"/>
      <c r="H54" s="44"/>
      <c r="I54" s="44"/>
    </row>
    <row r="55" spans="1:21" s="10" customFormat="1" ht="18.600000000000001" hidden="1" customHeight="1" thickBot="1">
      <c r="A55" s="11" t="s">
        <v>35</v>
      </c>
      <c r="B55" s="11">
        <v>1103</v>
      </c>
      <c r="C55" s="68" t="s">
        <v>139</v>
      </c>
      <c r="D55" s="44"/>
      <c r="E55" s="44"/>
      <c r="F55" s="44"/>
      <c r="G55" s="44"/>
      <c r="H55" s="44"/>
      <c r="I55" s="44"/>
    </row>
    <row r="56" spans="1:21" s="10" customFormat="1" ht="17.25" hidden="1" customHeight="1" thickBot="1">
      <c r="A56" s="28" t="s">
        <v>36</v>
      </c>
      <c r="B56" s="28">
        <v>1110</v>
      </c>
      <c r="C56" s="69" t="s">
        <v>140</v>
      </c>
      <c r="D56" s="29"/>
      <c r="E56" s="29"/>
      <c r="F56" s="29"/>
      <c r="G56" s="29"/>
      <c r="H56" s="29"/>
      <c r="I56" s="29"/>
    </row>
    <row r="57" spans="1:21" s="10" customFormat="1" ht="17.25" hidden="1" customHeight="1" thickBot="1">
      <c r="A57" s="11" t="s">
        <v>33</v>
      </c>
      <c r="B57" s="11">
        <v>1111</v>
      </c>
      <c r="C57" s="68" t="s">
        <v>141</v>
      </c>
      <c r="D57" s="17"/>
      <c r="E57" s="17"/>
      <c r="F57" s="17"/>
      <c r="G57" s="17"/>
      <c r="H57" s="17"/>
      <c r="I57" s="17"/>
    </row>
    <row r="58" spans="1:21" s="10" customFormat="1" ht="17.25" hidden="1" customHeight="1" thickBot="1">
      <c r="A58" s="11" t="s">
        <v>34</v>
      </c>
      <c r="B58" s="11">
        <v>1112</v>
      </c>
      <c r="C58" s="68" t="s">
        <v>142</v>
      </c>
      <c r="D58" s="17"/>
      <c r="E58" s="17"/>
      <c r="F58" s="17"/>
      <c r="G58" s="17"/>
      <c r="H58" s="17"/>
      <c r="I58" s="17"/>
    </row>
    <row r="59" spans="1:21" s="10" customFormat="1" ht="17.25" hidden="1" customHeight="1" thickBot="1">
      <c r="A59" s="11" t="s">
        <v>35</v>
      </c>
      <c r="B59" s="11">
        <v>1113</v>
      </c>
      <c r="C59" s="68" t="s">
        <v>143</v>
      </c>
      <c r="D59" s="17"/>
      <c r="E59" s="17"/>
      <c r="F59" s="17"/>
      <c r="G59" s="17"/>
      <c r="H59" s="17"/>
      <c r="I59" s="17"/>
    </row>
    <row r="60" spans="1:21" s="10" customFormat="1" ht="36.75" hidden="1" customHeight="1" thickBot="1">
      <c r="A60" s="28" t="s">
        <v>37</v>
      </c>
      <c r="B60" s="28">
        <v>1120</v>
      </c>
      <c r="C60" s="69" t="s">
        <v>144</v>
      </c>
      <c r="D60" s="29"/>
      <c r="E60" s="29"/>
      <c r="F60" s="29"/>
      <c r="G60" s="29"/>
      <c r="H60" s="29"/>
      <c r="I60" s="29"/>
    </row>
    <row r="61" spans="1:21" s="10" customFormat="1" ht="18.600000000000001" hidden="1" customHeight="1" thickBot="1">
      <c r="A61" s="11" t="s">
        <v>33</v>
      </c>
      <c r="B61" s="11">
        <v>1121</v>
      </c>
      <c r="C61" s="68" t="s">
        <v>145</v>
      </c>
      <c r="D61" s="44"/>
      <c r="E61" s="44"/>
      <c r="F61" s="44"/>
      <c r="G61" s="44"/>
      <c r="H61" s="44"/>
      <c r="I61" s="44"/>
    </row>
    <row r="62" spans="1:21" s="10" customFormat="1" ht="18.600000000000001" hidden="1" customHeight="1" thickBot="1">
      <c r="A62" s="11" t="s">
        <v>34</v>
      </c>
      <c r="B62" s="11">
        <v>1122</v>
      </c>
      <c r="C62" s="68" t="s">
        <v>146</v>
      </c>
      <c r="D62" s="44"/>
      <c r="E62" s="44"/>
      <c r="F62" s="44"/>
      <c r="G62" s="44"/>
      <c r="H62" s="44"/>
      <c r="I62" s="44"/>
    </row>
    <row r="63" spans="1:21" s="10" customFormat="1" ht="18.600000000000001" hidden="1" customHeight="1" thickBot="1">
      <c r="A63" s="11" t="s">
        <v>35</v>
      </c>
      <c r="B63" s="11">
        <v>1123</v>
      </c>
      <c r="C63" s="68" t="s">
        <v>147</v>
      </c>
      <c r="D63" s="44"/>
      <c r="E63" s="44"/>
      <c r="F63" s="44"/>
      <c r="G63" s="44"/>
      <c r="H63" s="44"/>
      <c r="I63" s="44"/>
    </row>
    <row r="64" spans="1:21" s="10" customFormat="1" ht="28.5" hidden="1" customHeight="1" thickBot="1">
      <c r="A64" s="28" t="s">
        <v>38</v>
      </c>
      <c r="B64" s="28">
        <v>1130</v>
      </c>
      <c r="C64" s="69" t="s">
        <v>148</v>
      </c>
      <c r="D64" s="29"/>
      <c r="E64" s="29"/>
      <c r="F64" s="29"/>
      <c r="G64" s="29"/>
      <c r="H64" s="29"/>
      <c r="I64" s="29"/>
    </row>
    <row r="65" spans="1:9" s="10" customFormat="1" ht="17.25" hidden="1" customHeight="1" thickBot="1">
      <c r="A65" s="11" t="s">
        <v>33</v>
      </c>
      <c r="B65" s="11">
        <v>1131</v>
      </c>
      <c r="C65" s="68" t="s">
        <v>149</v>
      </c>
      <c r="D65" s="17"/>
      <c r="E65" s="17"/>
      <c r="F65" s="17"/>
      <c r="G65" s="17"/>
      <c r="H65" s="17"/>
      <c r="I65" s="17"/>
    </row>
    <row r="66" spans="1:9" s="10" customFormat="1" ht="17.25" hidden="1" customHeight="1" thickBot="1">
      <c r="A66" s="11" t="s">
        <v>34</v>
      </c>
      <c r="B66" s="11">
        <v>1132</v>
      </c>
      <c r="C66" s="68" t="s">
        <v>150</v>
      </c>
      <c r="D66" s="17"/>
      <c r="E66" s="17"/>
      <c r="F66" s="17"/>
      <c r="G66" s="17"/>
      <c r="H66" s="17"/>
      <c r="I66" s="17"/>
    </row>
    <row r="67" spans="1:9" s="10" customFormat="1" ht="17.25" hidden="1" customHeight="1" thickBot="1">
      <c r="A67" s="11" t="s">
        <v>35</v>
      </c>
      <c r="B67" s="11">
        <v>1133</v>
      </c>
      <c r="C67" s="68" t="s">
        <v>151</v>
      </c>
      <c r="D67" s="17"/>
      <c r="E67" s="17"/>
      <c r="F67" s="17"/>
      <c r="G67" s="17"/>
      <c r="H67" s="17"/>
      <c r="I67" s="17"/>
    </row>
    <row r="68" spans="1:9" s="10" customFormat="1" ht="36" hidden="1" customHeight="1" thickBot="1">
      <c r="A68" s="28" t="s">
        <v>39</v>
      </c>
      <c r="B68" s="28">
        <v>1040</v>
      </c>
      <c r="C68" s="69" t="s">
        <v>152</v>
      </c>
      <c r="D68" s="29"/>
      <c r="E68" s="29"/>
      <c r="F68" s="29"/>
      <c r="G68" s="29"/>
      <c r="H68" s="29"/>
      <c r="I68" s="29"/>
    </row>
    <row r="69" spans="1:9" s="10" customFormat="1" ht="33.75" hidden="1" customHeight="1" thickBot="1">
      <c r="A69" s="11" t="s">
        <v>40</v>
      </c>
      <c r="B69" s="11">
        <v>1041</v>
      </c>
      <c r="C69" s="68" t="s">
        <v>153</v>
      </c>
      <c r="D69" s="17"/>
      <c r="E69" s="17"/>
      <c r="F69" s="17"/>
      <c r="G69" s="17"/>
      <c r="H69" s="17"/>
      <c r="I69" s="17"/>
    </row>
    <row r="70" spans="1:9" s="10" customFormat="1" ht="33" hidden="1" customHeight="1" thickBot="1">
      <c r="A70" s="11" t="s">
        <v>41</v>
      </c>
      <c r="B70" s="11">
        <v>1042</v>
      </c>
      <c r="C70" s="68" t="s">
        <v>154</v>
      </c>
      <c r="D70" s="17"/>
      <c r="E70" s="17"/>
      <c r="F70" s="17"/>
      <c r="G70" s="17"/>
      <c r="H70" s="17"/>
      <c r="I70" s="17"/>
    </row>
    <row r="71" spans="1:9" s="10" customFormat="1" ht="17.25" hidden="1" customHeight="1" thickBot="1">
      <c r="A71" s="11" t="s">
        <v>42</v>
      </c>
      <c r="B71" s="11">
        <v>1043</v>
      </c>
      <c r="C71" s="68" t="s">
        <v>155</v>
      </c>
      <c r="D71" s="17"/>
      <c r="E71" s="17"/>
      <c r="F71" s="17"/>
      <c r="G71" s="17"/>
      <c r="H71" s="17"/>
      <c r="I71" s="17"/>
    </row>
    <row r="72" spans="1:9" s="10" customFormat="1" ht="17.25" hidden="1" customHeight="1" thickBot="1">
      <c r="A72" s="11" t="s">
        <v>43</v>
      </c>
      <c r="B72" s="11">
        <v>1045</v>
      </c>
      <c r="C72" s="68" t="s">
        <v>156</v>
      </c>
      <c r="D72" s="17"/>
      <c r="E72" s="17"/>
      <c r="F72" s="17"/>
      <c r="G72" s="17"/>
      <c r="H72" s="17"/>
      <c r="I72" s="17"/>
    </row>
    <row r="73" spans="1:9" s="10" customFormat="1" ht="17.25" hidden="1" customHeight="1" thickBot="1">
      <c r="A73" s="11" t="s">
        <v>44</v>
      </c>
      <c r="B73" s="11">
        <v>1046</v>
      </c>
      <c r="C73" s="68" t="s">
        <v>157</v>
      </c>
      <c r="D73" s="17"/>
      <c r="E73" s="17"/>
      <c r="F73" s="17"/>
      <c r="G73" s="17"/>
      <c r="H73" s="17"/>
      <c r="I73" s="17"/>
    </row>
    <row r="74" spans="1:9" s="10" customFormat="1" ht="17.25" hidden="1" customHeight="1" thickBot="1">
      <c r="A74" s="11" t="s">
        <v>45</v>
      </c>
      <c r="B74" s="11">
        <v>1047</v>
      </c>
      <c r="C74" s="68" t="s">
        <v>158</v>
      </c>
      <c r="D74" s="17"/>
      <c r="E74" s="17"/>
      <c r="F74" s="17"/>
      <c r="G74" s="17"/>
      <c r="H74" s="17"/>
      <c r="I74" s="17"/>
    </row>
    <row r="75" spans="1:9" s="10" customFormat="1" ht="36.75" hidden="1" customHeight="1" thickBot="1">
      <c r="A75" s="28" t="s">
        <v>46</v>
      </c>
      <c r="B75" s="28">
        <v>1050</v>
      </c>
      <c r="C75" s="69" t="s">
        <v>159</v>
      </c>
      <c r="D75" s="29" t="s">
        <v>12</v>
      </c>
      <c r="E75" s="29" t="s">
        <v>12</v>
      </c>
      <c r="F75" s="29"/>
      <c r="G75" s="29"/>
      <c r="H75" s="29" t="s">
        <v>12</v>
      </c>
      <c r="I75" s="29" t="s">
        <v>12</v>
      </c>
    </row>
    <row r="76" spans="1:9" s="10" customFormat="1" ht="35.25" hidden="1" customHeight="1" thickBot="1">
      <c r="A76" s="11" t="s">
        <v>47</v>
      </c>
      <c r="B76" s="11">
        <v>1051</v>
      </c>
      <c r="C76" s="68" t="s">
        <v>160</v>
      </c>
      <c r="D76" s="17" t="s">
        <v>12</v>
      </c>
      <c r="E76" s="17" t="s">
        <v>12</v>
      </c>
      <c r="F76" s="17"/>
      <c r="G76" s="17"/>
      <c r="H76" s="17" t="s">
        <v>12</v>
      </c>
      <c r="I76" s="17" t="s">
        <v>12</v>
      </c>
    </row>
    <row r="77" spans="1:9" s="10" customFormat="1" ht="33.75" hidden="1" customHeight="1" thickBot="1">
      <c r="A77" s="11" t="s">
        <v>48</v>
      </c>
      <c r="B77" s="11">
        <v>1052</v>
      </c>
      <c r="C77" s="68" t="s">
        <v>161</v>
      </c>
      <c r="D77" s="17" t="s">
        <v>12</v>
      </c>
      <c r="E77" s="17" t="s">
        <v>12</v>
      </c>
      <c r="F77" s="17"/>
      <c r="G77" s="17"/>
      <c r="H77" s="17" t="s">
        <v>12</v>
      </c>
      <c r="I77" s="17" t="s">
        <v>12</v>
      </c>
    </row>
    <row r="78" spans="1:9" s="10" customFormat="1" ht="17.25" hidden="1" customHeight="1" thickBot="1">
      <c r="A78" s="11" t="s">
        <v>49</v>
      </c>
      <c r="B78" s="11">
        <v>1053</v>
      </c>
      <c r="C78" s="68" t="s">
        <v>162</v>
      </c>
      <c r="D78" s="17" t="s">
        <v>12</v>
      </c>
      <c r="E78" s="17" t="s">
        <v>12</v>
      </c>
      <c r="F78" s="17"/>
      <c r="G78" s="17"/>
      <c r="H78" s="17" t="s">
        <v>12</v>
      </c>
      <c r="I78" s="17" t="s">
        <v>12</v>
      </c>
    </row>
    <row r="79" spans="1:9" s="10" customFormat="1" ht="17.25" hidden="1" customHeight="1" thickBot="1">
      <c r="A79" s="11" t="s">
        <v>50</v>
      </c>
      <c r="B79" s="11">
        <v>1055</v>
      </c>
      <c r="C79" s="68" t="s">
        <v>163</v>
      </c>
      <c r="D79" s="17" t="s">
        <v>12</v>
      </c>
      <c r="E79" s="17" t="s">
        <v>12</v>
      </c>
      <c r="F79" s="17"/>
      <c r="G79" s="17"/>
      <c r="H79" s="17" t="s">
        <v>12</v>
      </c>
      <c r="I79" s="17" t="s">
        <v>12</v>
      </c>
    </row>
    <row r="80" spans="1:9" s="10" customFormat="1" ht="17.25" hidden="1" customHeight="1" thickBot="1">
      <c r="A80" s="11" t="s">
        <v>51</v>
      </c>
      <c r="B80" s="11">
        <v>1056</v>
      </c>
      <c r="C80" s="68" t="s">
        <v>164</v>
      </c>
      <c r="D80" s="17" t="s">
        <v>12</v>
      </c>
      <c r="E80" s="17" t="s">
        <v>12</v>
      </c>
      <c r="F80" s="17"/>
      <c r="G80" s="17"/>
      <c r="H80" s="17" t="s">
        <v>12</v>
      </c>
      <c r="I80" s="17" t="s">
        <v>12</v>
      </c>
    </row>
    <row r="81" spans="1:9" s="10" customFormat="1" ht="17.25" hidden="1" customHeight="1" thickBot="1">
      <c r="A81" s="11" t="s">
        <v>52</v>
      </c>
      <c r="B81" s="11">
        <v>1057</v>
      </c>
      <c r="C81" s="68" t="s">
        <v>165</v>
      </c>
      <c r="D81" s="17" t="s">
        <v>12</v>
      </c>
      <c r="E81" s="17" t="s">
        <v>12</v>
      </c>
      <c r="F81" s="17"/>
      <c r="G81" s="17"/>
      <c r="H81" s="17" t="s">
        <v>12</v>
      </c>
      <c r="I81" s="17" t="s">
        <v>12</v>
      </c>
    </row>
    <row r="82" spans="1:9" s="10" customFormat="1" ht="34.5" hidden="1" customHeight="1" thickBot="1">
      <c r="A82" s="28" t="s">
        <v>53</v>
      </c>
      <c r="B82" s="28">
        <v>1060</v>
      </c>
      <c r="C82" s="69" t="s">
        <v>166</v>
      </c>
      <c r="D82" s="29" t="s">
        <v>12</v>
      </c>
      <c r="E82" s="29" t="s">
        <v>12</v>
      </c>
      <c r="F82" s="29"/>
      <c r="G82" s="29"/>
      <c r="H82" s="29" t="s">
        <v>12</v>
      </c>
      <c r="I82" s="29" t="s">
        <v>12</v>
      </c>
    </row>
    <row r="83" spans="1:9" s="10" customFormat="1" ht="17.25" hidden="1" customHeight="1" thickBot="1">
      <c r="A83" s="11" t="s">
        <v>54</v>
      </c>
      <c r="B83" s="11">
        <v>1061</v>
      </c>
      <c r="C83" s="68" t="s">
        <v>167</v>
      </c>
      <c r="D83" s="17" t="s">
        <v>12</v>
      </c>
      <c r="E83" s="17" t="s">
        <v>12</v>
      </c>
      <c r="F83" s="17"/>
      <c r="G83" s="17"/>
      <c r="H83" s="17" t="s">
        <v>12</v>
      </c>
      <c r="I83" s="17" t="s">
        <v>12</v>
      </c>
    </row>
    <row r="84" spans="1:9" s="10" customFormat="1" ht="17.25" hidden="1" customHeight="1" thickBot="1">
      <c r="A84" s="11" t="s">
        <v>55</v>
      </c>
      <c r="B84" s="11">
        <v>1062</v>
      </c>
      <c r="C84" s="68" t="s">
        <v>168</v>
      </c>
      <c r="D84" s="17"/>
      <c r="E84" s="17" t="s">
        <v>12</v>
      </c>
      <c r="F84" s="17"/>
      <c r="G84" s="17"/>
      <c r="H84" s="17" t="s">
        <v>12</v>
      </c>
      <c r="I84" s="17"/>
    </row>
    <row r="85" spans="1:9" s="10" customFormat="1" ht="17.25" hidden="1" customHeight="1" thickBot="1">
      <c r="A85" s="11" t="s">
        <v>56</v>
      </c>
      <c r="B85" s="11">
        <v>1063</v>
      </c>
      <c r="C85" s="68" t="s">
        <v>169</v>
      </c>
      <c r="D85" s="17" t="s">
        <v>12</v>
      </c>
      <c r="E85" s="17" t="s">
        <v>12</v>
      </c>
      <c r="F85" s="17"/>
      <c r="G85" s="17"/>
      <c r="H85" s="17" t="s">
        <v>12</v>
      </c>
      <c r="I85" s="17" t="s">
        <v>12</v>
      </c>
    </row>
    <row r="86" spans="1:9" s="10" customFormat="1" ht="17.25" hidden="1" customHeight="1" thickBot="1">
      <c r="A86" s="11" t="s">
        <v>57</v>
      </c>
      <c r="B86" s="11">
        <v>1065</v>
      </c>
      <c r="C86" s="68" t="s">
        <v>170</v>
      </c>
      <c r="D86" s="17" t="s">
        <v>12</v>
      </c>
      <c r="E86" s="17" t="s">
        <v>12</v>
      </c>
      <c r="F86" s="17"/>
      <c r="G86" s="17"/>
      <c r="H86" s="17" t="s">
        <v>12</v>
      </c>
      <c r="I86" s="17" t="s">
        <v>12</v>
      </c>
    </row>
    <row r="87" spans="1:9" s="10" customFormat="1" ht="17.25" hidden="1" customHeight="1" thickBot="1">
      <c r="A87" s="11" t="s">
        <v>58</v>
      </c>
      <c r="B87" s="11">
        <v>1066</v>
      </c>
      <c r="C87" s="68" t="s">
        <v>171</v>
      </c>
      <c r="D87" s="17" t="s">
        <v>12</v>
      </c>
      <c r="E87" s="17" t="s">
        <v>12</v>
      </c>
      <c r="F87" s="17"/>
      <c r="G87" s="17"/>
      <c r="H87" s="17" t="s">
        <v>12</v>
      </c>
      <c r="I87" s="17" t="s">
        <v>12</v>
      </c>
    </row>
    <row r="88" spans="1:9" s="10" customFormat="1" ht="17.25" hidden="1" customHeight="1" thickBot="1">
      <c r="A88" s="11" t="s">
        <v>59</v>
      </c>
      <c r="B88" s="11">
        <v>1067</v>
      </c>
      <c r="C88" s="68" t="s">
        <v>172</v>
      </c>
      <c r="D88" s="17" t="s">
        <v>12</v>
      </c>
      <c r="E88" s="17" t="s">
        <v>12</v>
      </c>
      <c r="F88" s="17"/>
      <c r="G88" s="17"/>
      <c r="H88" s="17" t="s">
        <v>12</v>
      </c>
      <c r="I88" s="17" t="s">
        <v>12</v>
      </c>
    </row>
    <row r="89" spans="1:9" s="12" customFormat="1" ht="60.75" customHeight="1" thickBot="1">
      <c r="A89" s="28" t="s">
        <v>23</v>
      </c>
      <c r="B89" s="28">
        <v>504</v>
      </c>
      <c r="C89" s="69" t="s">
        <v>173</v>
      </c>
      <c r="D89" s="29" t="s">
        <v>12</v>
      </c>
      <c r="E89" s="29" t="s">
        <v>12</v>
      </c>
      <c r="F89" s="94">
        <v>340000</v>
      </c>
      <c r="G89" s="93">
        <v>280000</v>
      </c>
      <c r="H89" s="29" t="s">
        <v>12</v>
      </c>
      <c r="I89" s="29" t="s">
        <v>12</v>
      </c>
    </row>
    <row r="90" spans="1:9">
      <c r="A90" s="2"/>
    </row>
    <row r="91" spans="1:9">
      <c r="A91" s="3"/>
      <c r="F91">
        <f>F89/4000</f>
        <v>85</v>
      </c>
      <c r="G91">
        <f>G89/4000</f>
        <v>70</v>
      </c>
    </row>
    <row r="92" spans="1:9">
      <c r="A92" s="2"/>
      <c r="B92" s="105"/>
      <c r="C92" s="105"/>
      <c r="D92" s="105"/>
      <c r="E92" s="105"/>
      <c r="F92" s="105"/>
      <c r="G92" s="105"/>
      <c r="H92" s="105"/>
      <c r="I92" s="105"/>
    </row>
    <row r="93" spans="1:9" ht="21" customHeight="1">
      <c r="A93" s="105"/>
      <c r="B93" s="105"/>
      <c r="C93" s="105"/>
      <c r="D93" s="105"/>
      <c r="E93" s="105"/>
      <c r="F93" s="105"/>
      <c r="G93" s="105"/>
    </row>
    <row r="94" spans="1:9">
      <c r="A94" s="105"/>
      <c r="B94" s="105"/>
      <c r="C94" s="105"/>
      <c r="D94" s="105"/>
      <c r="E94" s="105"/>
      <c r="F94" s="105"/>
      <c r="G94" s="105"/>
    </row>
    <row r="95" spans="1:9" ht="37.5" customHeight="1">
      <c r="A95" s="105"/>
      <c r="B95" s="105"/>
      <c r="C95" s="105"/>
      <c r="D95" s="105"/>
      <c r="E95" s="105"/>
      <c r="F95" s="105"/>
      <c r="G95" s="105"/>
    </row>
    <row r="96" spans="1:9">
      <c r="A96" s="105"/>
      <c r="B96" s="105"/>
      <c r="C96" s="105"/>
      <c r="D96" s="105"/>
      <c r="E96" s="105"/>
      <c r="F96" s="105"/>
      <c r="G96" s="105"/>
    </row>
    <row r="97" spans="1:9" ht="21" customHeight="1">
      <c r="A97" s="105"/>
      <c r="B97" s="105"/>
      <c r="C97" s="105"/>
      <c r="D97" s="105"/>
      <c r="E97" s="105"/>
      <c r="F97" s="105"/>
      <c r="G97" s="105"/>
    </row>
    <row r="98" spans="1:9">
      <c r="A98" s="105"/>
      <c r="B98" s="105"/>
      <c r="C98" s="105"/>
      <c r="D98" s="105"/>
      <c r="E98" s="105"/>
      <c r="F98" s="105"/>
      <c r="G98" s="105"/>
    </row>
    <row r="99" spans="1:9">
      <c r="A99" s="2"/>
      <c r="B99" s="2"/>
      <c r="C99" s="71"/>
      <c r="D99" s="2"/>
      <c r="E99" s="2"/>
      <c r="F99" s="2"/>
      <c r="G99" s="2"/>
      <c r="H99" s="2"/>
      <c r="I99" s="2"/>
    </row>
    <row r="100" spans="1:9">
      <c r="A100" s="3"/>
    </row>
    <row r="101" spans="1:9">
      <c r="A101" s="2"/>
      <c r="B101" s="106"/>
      <c r="C101" s="106"/>
      <c r="D101" s="106"/>
      <c r="E101" s="106"/>
      <c r="F101" s="106"/>
      <c r="G101" s="106"/>
      <c r="H101" s="106"/>
      <c r="I101" s="2"/>
    </row>
    <row r="102" spans="1:9">
      <c r="A102" s="2"/>
      <c r="B102" s="106"/>
      <c r="C102" s="106"/>
      <c r="D102" s="106"/>
      <c r="E102" s="106"/>
      <c r="F102" s="106"/>
      <c r="G102" s="106"/>
      <c r="H102" s="106"/>
      <c r="I102" s="1"/>
    </row>
    <row r="103" spans="1:9">
      <c r="A103" s="2"/>
      <c r="B103" s="2"/>
      <c r="C103" s="71"/>
      <c r="D103" s="2"/>
      <c r="E103" s="2"/>
      <c r="F103" s="2"/>
      <c r="G103" s="2"/>
      <c r="H103" s="2"/>
      <c r="I103" s="2"/>
    </row>
  </sheetData>
  <mergeCells count="29">
    <mergeCell ref="B101:H101"/>
    <mergeCell ref="B102:H102"/>
    <mergeCell ref="A97:A98"/>
    <mergeCell ref="B97:B98"/>
    <mergeCell ref="C97:D97"/>
    <mergeCell ref="E97:F97"/>
    <mergeCell ref="G97:G98"/>
    <mergeCell ref="C98:D98"/>
    <mergeCell ref="E98:F98"/>
    <mergeCell ref="A95:A96"/>
    <mergeCell ref="B95:B96"/>
    <mergeCell ref="C95:D95"/>
    <mergeCell ref="E95:F95"/>
    <mergeCell ref="G95:G96"/>
    <mergeCell ref="C96:D96"/>
    <mergeCell ref="E96:F96"/>
    <mergeCell ref="B92:I92"/>
    <mergeCell ref="A93:A94"/>
    <mergeCell ref="B93:B94"/>
    <mergeCell ref="C93:D93"/>
    <mergeCell ref="E93:F93"/>
    <mergeCell ref="G93:G94"/>
    <mergeCell ref="C94:D94"/>
    <mergeCell ref="E94:F94"/>
    <mergeCell ref="A3:I3"/>
    <mergeCell ref="A4:I4"/>
    <mergeCell ref="A5:I5"/>
    <mergeCell ref="A6:I6"/>
    <mergeCell ref="A7:I7"/>
  </mergeCells>
  <pageMargins left="0" right="0" top="0.35433070866141736" bottom="0" header="0" footer="0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Total sc.prim</vt:lpstr>
      <vt:lpstr>sc.prim.16</vt:lpstr>
      <vt:lpstr>scprim.21</vt:lpstr>
      <vt:lpstr>total gimnazii</vt:lpstr>
      <vt:lpstr>gim 10</vt:lpstr>
      <vt:lpstr>gim 2</vt:lpstr>
      <vt:lpstr>gim 3</vt:lpstr>
      <vt:lpstr>gim 6</vt:lpstr>
      <vt:lpstr>gim 7</vt:lpstr>
      <vt:lpstr>gim 9</vt:lpstr>
      <vt:lpstr>gim 14</vt:lpstr>
      <vt:lpstr>gim 19</vt:lpstr>
      <vt:lpstr>gim Cuza</vt:lpstr>
      <vt:lpstr>total licee</vt:lpstr>
      <vt:lpstr>Cantemir</vt:lpstr>
      <vt:lpstr>Hasdeu</vt:lpstr>
      <vt:lpstr>Blaga</vt:lpstr>
      <vt:lpstr>Lomonosov</vt:lpstr>
      <vt:lpstr>Gorki</vt:lpstr>
      <vt:lpstr>Cosbuc</vt:lpstr>
      <vt:lpstr>Maiakovski</vt:lpstr>
      <vt:lpstr>St cel Mare</vt:lpstr>
      <vt:lpstr>Puskin</vt:lpstr>
      <vt:lpstr>Alecsandri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Alexandr Prișcepa</cp:lastModifiedBy>
  <cp:lastPrinted>2023-06-29T13:11:24Z</cp:lastPrinted>
  <dcterms:created xsi:type="dcterms:W3CDTF">2020-01-17T14:51:03Z</dcterms:created>
  <dcterms:modified xsi:type="dcterms:W3CDTF">2025-10-14T14:24:43Z</dcterms:modified>
</cp:coreProperties>
</file>